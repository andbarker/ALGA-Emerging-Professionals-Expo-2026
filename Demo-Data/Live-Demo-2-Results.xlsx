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/>
  <xr:revisionPtr revIDLastSave="142" documentId="8_{3519167B-3895-49EC-B743-B92267A3CF9E}" xr6:coauthVersionLast="47" xr6:coauthVersionMax="47" xr10:uidLastSave="{ECB0D602-8979-4340-B833-173084747AA2}"/>
  <bookViews>
    <workbookView xWindow="10" yWindow="10" windowWidth="19180" windowHeight="11260" tabRatio="733" firstSheet="2" activeTab="5" xr2:uid="{00000000-000D-0000-FFFF-FFFF00000000}"/>
  </bookViews>
  <sheets>
    <sheet name="Raw Results" sheetId="7" r:id="rId1"/>
    <sheet name="Criteria" sheetId="4" r:id="rId2"/>
    <sheet name="Exceeds" sheetId="10" r:id="rId3"/>
    <sheet name="Map" sheetId="11" r:id="rId4"/>
    <sheet name="Exceed Summary" sheetId="12" r:id="rId5"/>
    <sheet name="Real Result" sheetId="3" r:id="rId6"/>
  </sheets>
  <definedNames>
    <definedName name="_xlnm._FilterDatabase" localSheetId="2" hidden="1">Exceeds!$A$1:$I$57</definedName>
    <definedName name="_xlnm._FilterDatabase" localSheetId="0" hidden="1">'Raw Results'!$A$1:$G$57</definedName>
    <definedName name="_xlnm.Print_Titles" localSheetId="2">Exceeds!1:1</definedName>
    <definedName name="_xlnm.Print_Titles" localSheetId="0">'Raw Results'!1:1</definedName>
    <definedName name="_xlnm.Print_Titles" localSheetId="5">'Real Result'!$A:$F,'Real Result'!$1:$9</definedName>
  </definedNames>
  <calcPr calcId="191029"/>
  <pivotCaches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0" l="1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</calcChain>
</file>

<file path=xl/sharedStrings.xml><?xml version="1.0" encoding="utf-8"?>
<sst xmlns="http://schemas.openxmlformats.org/spreadsheetml/2006/main" count="631" uniqueCount="95">
  <si>
    <t>Metals</t>
  </si>
  <si>
    <t>Arsenic</t>
  </si>
  <si>
    <t>Cadmium</t>
  </si>
  <si>
    <t>Chromium</t>
  </si>
  <si>
    <t>Copper</t>
  </si>
  <si>
    <t>Lead</t>
  </si>
  <si>
    <t>Mercury</t>
  </si>
  <si>
    <t>Nickel</t>
  </si>
  <si>
    <t>Zinc</t>
  </si>
  <si>
    <t>mg/kg</t>
  </si>
  <si>
    <t>EQL</t>
  </si>
  <si>
    <t>5</t>
  </si>
  <si>
    <t>1</t>
  </si>
  <si>
    <t>2</t>
  </si>
  <si>
    <t>0.1</t>
  </si>
  <si>
    <t>Location Code</t>
  </si>
  <si>
    <t>Date</t>
  </si>
  <si>
    <t>Depth</t>
  </si>
  <si>
    <t>BH01</t>
  </si>
  <si>
    <t>3 - 3.1</t>
  </si>
  <si>
    <t>45</t>
  </si>
  <si>
    <t>24</t>
  </si>
  <si>
    <t>615</t>
  </si>
  <si>
    <t>253</t>
  </si>
  <si>
    <t>1,800</t>
  </si>
  <si>
    <t>694</t>
  </si>
  <si>
    <t>2,340</t>
  </si>
  <si>
    <t>4.8 - 4.9</t>
  </si>
  <si>
    <t>26</t>
  </si>
  <si>
    <t>50</t>
  </si>
  <si>
    <t>2,150</t>
  </si>
  <si>
    <t>837</t>
  </si>
  <si>
    <t>0.2</t>
  </si>
  <si>
    <t>88</t>
  </si>
  <si>
    <t>5,310</t>
  </si>
  <si>
    <t>BH03</t>
  </si>
  <si>
    <t>0.5 - 0.6</t>
  </si>
  <si>
    <t>11</t>
  </si>
  <si>
    <t>&lt;1</t>
  </si>
  <si>
    <t>42</t>
  </si>
  <si>
    <t>23</t>
  </si>
  <si>
    <t>22</t>
  </si>
  <si>
    <t>&lt;0.1</t>
  </si>
  <si>
    <t>37</t>
  </si>
  <si>
    <t>72</t>
  </si>
  <si>
    <t>2 - 2.1</t>
  </si>
  <si>
    <t>6</t>
  </si>
  <si>
    <t>28</t>
  </si>
  <si>
    <t>49</t>
  </si>
  <si>
    <t>184</t>
  </si>
  <si>
    <t>225</t>
  </si>
  <si>
    <t>BH05</t>
  </si>
  <si>
    <t>1.8 - 1.9</t>
  </si>
  <si>
    <t>56</t>
  </si>
  <si>
    <t>55</t>
  </si>
  <si>
    <t>344</t>
  </si>
  <si>
    <t>5 - 5.1</t>
  </si>
  <si>
    <t>12</t>
  </si>
  <si>
    <t>34</t>
  </si>
  <si>
    <t>1,460</t>
  </si>
  <si>
    <t>557</t>
  </si>
  <si>
    <t>80</t>
  </si>
  <si>
    <t>30,000</t>
  </si>
  <si>
    <t>7.5 - 7.6</t>
  </si>
  <si>
    <t>&lt;5</t>
  </si>
  <si>
    <t>52</t>
  </si>
  <si>
    <t>43</t>
  </si>
  <si>
    <t>68</t>
  </si>
  <si>
    <t>79</t>
  </si>
  <si>
    <t>1,950</t>
  </si>
  <si>
    <t>Chem Name</t>
  </si>
  <si>
    <t>Action Level</t>
  </si>
  <si>
    <t>300 mg/kg</t>
  </si>
  <si>
    <t>40 mg/kg</t>
  </si>
  <si>
    <t>400 mg/kg</t>
  </si>
  <si>
    <t>100 mg/kg</t>
  </si>
  <si>
    <t>20 mg/kg</t>
  </si>
  <si>
    <t>Chromium (total)</t>
  </si>
  <si>
    <t>6000 mg/kg</t>
  </si>
  <si>
    <t>7400 mg/kg</t>
  </si>
  <si>
    <t>&lt;</t>
  </si>
  <si>
    <t>Unit</t>
  </si>
  <si>
    <t>Prefix</t>
  </si>
  <si>
    <t>Sampled Date</t>
  </si>
  <si>
    <t>Result</t>
  </si>
  <si>
    <t>Criteria Formula 1</t>
  </si>
  <si>
    <t>Criteria Formula 2</t>
  </si>
  <si>
    <t>Result Name</t>
  </si>
  <si>
    <t>Criteria Name</t>
  </si>
  <si>
    <t>Row Labels</t>
  </si>
  <si>
    <t>Grand Total</t>
  </si>
  <si>
    <t>Column Labels</t>
  </si>
  <si>
    <t>Exceeds</t>
  </si>
  <si>
    <t>Count of Criteria Formula 2</t>
  </si>
  <si>
    <t>Human Health HILA - 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</si>
</sst>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7">
    <font>
      <sz val="11"/>
      <color rgb="FF000000"/>
      <name val="Calibri"/>
      <family val="2"/>
    </font>
    <font>
      <sz val="10"/>
      <color rgb="FF000000"/>
      <name val="Arial Unicode MS"/>
      <family val="2"/>
    </font>
    <font>
      <b/>
      <sz val="11"/>
      <color rgb="FF000000"/>
      <name val="Arial Unicode MS"/>
      <family val="2"/>
    </font>
    <font>
      <sz val="10"/>
      <color rgb="FF9B9B9B"/>
      <name val="Arial Unicode MS"/>
      <family val="2"/>
    </font>
    <font>
      <b/>
      <sz val="11"/>
      <color rgb="FF000000"/>
      <name val="Calibri"/>
      <family val="2"/>
    </font>
    <font>
      <sz val="10"/>
      <color theme="0"/>
      <name val="Arial Unicode MS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495ED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 applyBorder="0"/>
  </cellStyleXfs>
  <cellXfs count="33">
    <xf numFmtId="0" fontId="0" fillId="0" borderId="0" xfId="0"/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/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center" shrinkToFit="1"/>
    </xf>
    <xf numFmtId="0" fontId="1" fillId="0" borderId="9" xfId="0" applyFont="1" applyBorder="1"/>
    <xf numFmtId="0" fontId="2" fillId="0" borderId="5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65" fontId="1" fillId="0" borderId="8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14" fontId="0" fillId="0" borderId="0" xfId="0" applyNumberFormat="1"/>
    <xf numFmtId="0" fontId="0" fillId="0" borderId="0" xfId="0"/>
    <xf numFmtId="165" fontId="1" fillId="0" borderId="8" xfId="0" applyNumberFormat="1" applyFont="1" applyBorder="1" applyAlignment="1">
      <alignment horizontal="left"/>
    </xf>
    <xf numFmtId="0" fontId="4" fillId="0" borderId="0" xfId="0" applyFont="1"/>
    <xf numFmtId="14" fontId="4" fillId="0" borderId="0" xfId="0" applyNumberFormat="1" applyFont="1"/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/>
    <xf numFmtId="0" fontId="5" fillId="2" borderId="8" xfId="0" applyFont="1" applyFill="1" applyBorder="1" applyAlignment="1">
      <alignment horizontal="center" shrinkToFit="1"/>
    </xf>
    <xf numFmtId="3" fontId="5" fillId="2" borderId="8" xfId="0" applyNumberFormat="1" applyFont="1" applyFill="1" applyBorder="1" applyAlignment="1">
      <alignment horizontal="center" shrinkToFit="1"/>
    </xf>
    <xf numFmtId="49" fontId="5" fillId="2" borderId="8" xfId="0" applyNumberFormat="1" applyFont="1" applyFill="1" applyBorder="1" applyAlignment="1">
      <alignment horizontal="center"/>
    </xf>
    <xf numFmtId="0" fontId="4" fillId="3" borderId="0" xfId="0" applyFont="1" applyFill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06.15942974537" createdVersion="8" refreshedVersion="8" minRefreshableVersion="3" recordCount="56" xr:uid="{5790F2DE-3392-4E6B-93CD-A93A8E23D745}">
  <cacheSource type="worksheet">
    <worksheetSource ref="A1:I57" sheet="Exceeds"/>
  </cacheSource>
  <cacheFields count="9">
    <cacheField name="Location Code" numFmtId="0">
      <sharedItems count="3">
        <s v="BH01"/>
        <s v="BH03"/>
        <s v="BH05"/>
      </sharedItems>
    </cacheField>
    <cacheField name="Depth" numFmtId="0">
      <sharedItems count="7">
        <s v="3 - 3.1"/>
        <s v="4.8 - 4.9"/>
        <s v="0.5 - 0.6"/>
        <s v="2 - 2.1"/>
        <s v="1.8 - 1.9"/>
        <s v="5 - 5.1"/>
        <s v="7.5 - 7.6"/>
      </sharedItems>
    </cacheField>
    <cacheField name="Sampled Date" numFmtId="14">
      <sharedItems containsSemiMixedTypes="0" containsNonDate="0" containsDate="1" containsString="0" minDate="2023-11-15T15:00:00" maxDate="2023-11-15T18:42:00"/>
    </cacheField>
    <cacheField name="Chem Name" numFmtId="0">
      <sharedItems count="8">
        <s v="Arsenic"/>
        <s v="Cadmium"/>
        <s v="Chromium"/>
        <s v="Copper"/>
        <s v="Lead"/>
        <s v="Mercury"/>
        <s v="Nickel"/>
        <s v="Zinc"/>
      </sharedItems>
    </cacheField>
    <cacheField name="Prefix" numFmtId="0">
      <sharedItems containsBlank="1"/>
    </cacheField>
    <cacheField name="Result" numFmtId="0">
      <sharedItems containsSemiMixedTypes="0" containsString="0" containsNumber="1" minValue="0.1" maxValue="30000"/>
    </cacheField>
    <cacheField name="Unit" numFmtId="0">
      <sharedItems/>
    </cacheField>
    <cacheField name="Criteria Formula 1" numFmtId="0">
      <sharedItems/>
    </cacheField>
    <cacheField name="Criteria Formula 2" numFmtId="0">
      <sharedItems count="2">
        <s v="OK"/>
        <s v="Exceed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d v="2023-11-15T15:00:00"/>
    <x v="0"/>
    <m/>
    <n v="45"/>
    <s v="mg/kg"/>
    <s v="OK"/>
    <x v="0"/>
  </r>
  <r>
    <x v="0"/>
    <x v="0"/>
    <d v="2023-11-15T15:00:00"/>
    <x v="1"/>
    <m/>
    <n v="24"/>
    <s v="mg/kg"/>
    <s v="Exceeds"/>
    <x v="1"/>
  </r>
  <r>
    <x v="0"/>
    <x v="0"/>
    <d v="2023-11-15T15:00:00"/>
    <x v="2"/>
    <m/>
    <n v="615"/>
    <s v="mg/kg"/>
    <e v="#N/A"/>
    <x v="1"/>
  </r>
  <r>
    <x v="0"/>
    <x v="0"/>
    <d v="2023-11-15T15:00:00"/>
    <x v="3"/>
    <m/>
    <n v="253"/>
    <s v="mg/kg"/>
    <s v="OK"/>
    <x v="0"/>
  </r>
  <r>
    <x v="0"/>
    <x v="0"/>
    <d v="2023-11-15T15:00:00"/>
    <x v="4"/>
    <m/>
    <n v="1800"/>
    <s v="mg/kg"/>
    <s v="Exceeds"/>
    <x v="1"/>
  </r>
  <r>
    <x v="0"/>
    <x v="0"/>
    <d v="2023-11-15T15:00:00"/>
    <x v="5"/>
    <m/>
    <n v="0.1"/>
    <s v="mg/kg"/>
    <s v="OK"/>
    <x v="0"/>
  </r>
  <r>
    <x v="0"/>
    <x v="0"/>
    <d v="2023-11-15T15:00:00"/>
    <x v="6"/>
    <m/>
    <n v="694"/>
    <s v="mg/kg"/>
    <s v="Exceeds"/>
    <x v="1"/>
  </r>
  <r>
    <x v="0"/>
    <x v="0"/>
    <d v="2023-11-15T15:00:00"/>
    <x v="7"/>
    <m/>
    <n v="2340"/>
    <s v="mg/kg"/>
    <s v="OK"/>
    <x v="0"/>
  </r>
  <r>
    <x v="0"/>
    <x v="1"/>
    <d v="2023-11-15T15:00:00"/>
    <x v="0"/>
    <m/>
    <n v="26"/>
    <s v="mg/kg"/>
    <s v="OK"/>
    <x v="0"/>
  </r>
  <r>
    <x v="0"/>
    <x v="1"/>
    <d v="2023-11-15T15:00:00"/>
    <x v="1"/>
    <m/>
    <n v="5"/>
    <s v="mg/kg"/>
    <s v="OK"/>
    <x v="0"/>
  </r>
  <r>
    <x v="0"/>
    <x v="1"/>
    <d v="2023-11-15T15:00:00"/>
    <x v="2"/>
    <m/>
    <n v="50"/>
    <s v="mg/kg"/>
    <e v="#N/A"/>
    <x v="0"/>
  </r>
  <r>
    <x v="0"/>
    <x v="1"/>
    <d v="2023-11-15T15:00:00"/>
    <x v="3"/>
    <m/>
    <n v="2150"/>
    <s v="mg/kg"/>
    <s v="OK"/>
    <x v="0"/>
  </r>
  <r>
    <x v="0"/>
    <x v="1"/>
    <d v="2023-11-15T15:00:00"/>
    <x v="4"/>
    <m/>
    <n v="837"/>
    <s v="mg/kg"/>
    <s v="Exceeds"/>
    <x v="1"/>
  </r>
  <r>
    <x v="0"/>
    <x v="1"/>
    <d v="2023-11-15T15:00:00"/>
    <x v="5"/>
    <m/>
    <n v="0.2"/>
    <s v="mg/kg"/>
    <s v="OK"/>
    <x v="0"/>
  </r>
  <r>
    <x v="0"/>
    <x v="1"/>
    <d v="2023-11-15T15:00:00"/>
    <x v="6"/>
    <m/>
    <n v="88"/>
    <s v="mg/kg"/>
    <s v="OK"/>
    <x v="0"/>
  </r>
  <r>
    <x v="0"/>
    <x v="1"/>
    <d v="2023-11-15T15:00:00"/>
    <x v="7"/>
    <m/>
    <n v="5310"/>
    <s v="mg/kg"/>
    <s v="OK"/>
    <x v="0"/>
  </r>
  <r>
    <x v="1"/>
    <x v="2"/>
    <d v="2023-11-15T15:00:00"/>
    <x v="0"/>
    <m/>
    <n v="11"/>
    <s v="mg/kg"/>
    <s v="OK"/>
    <x v="0"/>
  </r>
  <r>
    <x v="1"/>
    <x v="2"/>
    <d v="2023-11-15T15:00:00"/>
    <x v="1"/>
    <s v="&lt;"/>
    <n v="1"/>
    <s v="mg/kg"/>
    <s v="OK"/>
    <x v="0"/>
  </r>
  <r>
    <x v="1"/>
    <x v="2"/>
    <d v="2023-11-15T15:00:00"/>
    <x v="2"/>
    <m/>
    <n v="42"/>
    <s v="mg/kg"/>
    <e v="#N/A"/>
    <x v="0"/>
  </r>
  <r>
    <x v="1"/>
    <x v="2"/>
    <d v="2023-11-15T15:00:00"/>
    <x v="3"/>
    <m/>
    <n v="23"/>
    <s v="mg/kg"/>
    <s v="OK"/>
    <x v="0"/>
  </r>
  <r>
    <x v="1"/>
    <x v="2"/>
    <d v="2023-11-15T15:00:00"/>
    <x v="4"/>
    <m/>
    <n v="22"/>
    <s v="mg/kg"/>
    <s v="OK"/>
    <x v="0"/>
  </r>
  <r>
    <x v="1"/>
    <x v="2"/>
    <d v="2023-11-15T15:00:00"/>
    <x v="5"/>
    <s v="&lt;"/>
    <n v="0.1"/>
    <s v="mg/kg"/>
    <s v="OK"/>
    <x v="0"/>
  </r>
  <r>
    <x v="1"/>
    <x v="2"/>
    <d v="2023-11-15T15:00:00"/>
    <x v="6"/>
    <m/>
    <n v="37"/>
    <s v="mg/kg"/>
    <s v="OK"/>
    <x v="0"/>
  </r>
  <r>
    <x v="1"/>
    <x v="2"/>
    <d v="2023-11-15T15:00:00"/>
    <x v="7"/>
    <m/>
    <n v="72"/>
    <s v="mg/kg"/>
    <s v="OK"/>
    <x v="0"/>
  </r>
  <r>
    <x v="1"/>
    <x v="3"/>
    <d v="2023-11-15T15:00:00"/>
    <x v="0"/>
    <m/>
    <n v="6"/>
    <s v="mg/kg"/>
    <s v="OK"/>
    <x v="0"/>
  </r>
  <r>
    <x v="1"/>
    <x v="3"/>
    <d v="2023-11-15T15:00:00"/>
    <x v="1"/>
    <s v="&lt;"/>
    <n v="1"/>
    <s v="mg/kg"/>
    <s v="OK"/>
    <x v="0"/>
  </r>
  <r>
    <x v="1"/>
    <x v="3"/>
    <d v="2023-11-15T15:00:00"/>
    <x v="2"/>
    <m/>
    <n v="28"/>
    <s v="mg/kg"/>
    <e v="#N/A"/>
    <x v="0"/>
  </r>
  <r>
    <x v="1"/>
    <x v="3"/>
    <d v="2023-11-15T15:00:00"/>
    <x v="3"/>
    <m/>
    <n v="49"/>
    <s v="mg/kg"/>
    <s v="OK"/>
    <x v="0"/>
  </r>
  <r>
    <x v="1"/>
    <x v="3"/>
    <d v="2023-11-15T15:00:00"/>
    <x v="4"/>
    <m/>
    <n v="184"/>
    <s v="mg/kg"/>
    <s v="OK"/>
    <x v="0"/>
  </r>
  <r>
    <x v="1"/>
    <x v="3"/>
    <d v="2023-11-15T15:00:00"/>
    <x v="5"/>
    <s v="&lt;"/>
    <n v="0.1"/>
    <s v="mg/kg"/>
    <s v="OK"/>
    <x v="0"/>
  </r>
  <r>
    <x v="1"/>
    <x v="3"/>
    <d v="2023-11-15T15:00:00"/>
    <x v="6"/>
    <m/>
    <n v="26"/>
    <s v="mg/kg"/>
    <s v="OK"/>
    <x v="0"/>
  </r>
  <r>
    <x v="1"/>
    <x v="3"/>
    <d v="2023-11-15T15:00:00"/>
    <x v="7"/>
    <m/>
    <n v="225"/>
    <s v="mg/kg"/>
    <s v="OK"/>
    <x v="0"/>
  </r>
  <r>
    <x v="2"/>
    <x v="4"/>
    <d v="2023-11-15T15:00:00"/>
    <x v="0"/>
    <m/>
    <n v="5"/>
    <s v="mg/kg"/>
    <s v="OK"/>
    <x v="0"/>
  </r>
  <r>
    <x v="2"/>
    <x v="4"/>
    <d v="2023-11-15T15:00:00"/>
    <x v="1"/>
    <s v="&lt;"/>
    <n v="1"/>
    <s v="mg/kg"/>
    <s v="OK"/>
    <x v="0"/>
  </r>
  <r>
    <x v="2"/>
    <x v="4"/>
    <d v="2023-11-15T15:00:00"/>
    <x v="2"/>
    <m/>
    <n v="56"/>
    <s v="mg/kg"/>
    <e v="#N/A"/>
    <x v="0"/>
  </r>
  <r>
    <x v="2"/>
    <x v="4"/>
    <d v="2023-11-15T15:00:00"/>
    <x v="3"/>
    <m/>
    <n v="22"/>
    <s v="mg/kg"/>
    <s v="OK"/>
    <x v="0"/>
  </r>
  <r>
    <x v="2"/>
    <x v="4"/>
    <d v="2023-11-15T15:00:00"/>
    <x v="4"/>
    <m/>
    <n v="26"/>
    <s v="mg/kg"/>
    <s v="OK"/>
    <x v="0"/>
  </r>
  <r>
    <x v="2"/>
    <x v="4"/>
    <d v="2023-11-15T15:00:00"/>
    <x v="5"/>
    <s v="&lt;"/>
    <n v="0.1"/>
    <s v="mg/kg"/>
    <s v="OK"/>
    <x v="0"/>
  </r>
  <r>
    <x v="2"/>
    <x v="4"/>
    <d v="2023-11-15T15:00:00"/>
    <x v="6"/>
    <m/>
    <n v="55"/>
    <s v="mg/kg"/>
    <s v="OK"/>
    <x v="0"/>
  </r>
  <r>
    <x v="2"/>
    <x v="4"/>
    <d v="2023-11-15T15:00:00"/>
    <x v="7"/>
    <m/>
    <n v="344"/>
    <s v="mg/kg"/>
    <s v="OK"/>
    <x v="0"/>
  </r>
  <r>
    <x v="2"/>
    <x v="5"/>
    <d v="2023-11-15T15:00:00"/>
    <x v="0"/>
    <m/>
    <n v="12"/>
    <s v="mg/kg"/>
    <s v="OK"/>
    <x v="0"/>
  </r>
  <r>
    <x v="2"/>
    <x v="5"/>
    <d v="2023-11-15T15:00:00"/>
    <x v="1"/>
    <m/>
    <n v="2"/>
    <s v="mg/kg"/>
    <s v="OK"/>
    <x v="0"/>
  </r>
  <r>
    <x v="2"/>
    <x v="5"/>
    <d v="2023-11-15T15:00:00"/>
    <x v="2"/>
    <m/>
    <n v="34"/>
    <s v="mg/kg"/>
    <e v="#N/A"/>
    <x v="0"/>
  </r>
  <r>
    <x v="2"/>
    <x v="5"/>
    <d v="2023-11-15T15:00:00"/>
    <x v="3"/>
    <m/>
    <n v="1460"/>
    <s v="mg/kg"/>
    <s v="OK"/>
    <x v="0"/>
  </r>
  <r>
    <x v="2"/>
    <x v="5"/>
    <d v="2023-11-15T15:00:00"/>
    <x v="4"/>
    <m/>
    <n v="557"/>
    <s v="mg/kg"/>
    <s v="Exceeds"/>
    <x v="1"/>
  </r>
  <r>
    <x v="2"/>
    <x v="5"/>
    <d v="2023-11-15T15:00:00"/>
    <x v="5"/>
    <s v="&lt;"/>
    <n v="0.1"/>
    <s v="mg/kg"/>
    <s v="OK"/>
    <x v="0"/>
  </r>
  <r>
    <x v="2"/>
    <x v="5"/>
    <d v="2023-11-15T15:00:00"/>
    <x v="6"/>
    <m/>
    <n v="80"/>
    <s v="mg/kg"/>
    <s v="OK"/>
    <x v="0"/>
  </r>
  <r>
    <x v="2"/>
    <x v="5"/>
    <d v="2023-11-15T15:00:00"/>
    <x v="7"/>
    <m/>
    <n v="30000"/>
    <s v="mg/kg"/>
    <s v="Exceeds"/>
    <x v="1"/>
  </r>
  <r>
    <x v="2"/>
    <x v="6"/>
    <d v="2023-11-15T18:42:00"/>
    <x v="0"/>
    <s v="&lt;"/>
    <n v="5"/>
    <s v="mg/kg"/>
    <s v="OK"/>
    <x v="0"/>
  </r>
  <r>
    <x v="2"/>
    <x v="6"/>
    <d v="2023-11-15T18:42:00"/>
    <x v="1"/>
    <s v="&lt;"/>
    <n v="1"/>
    <s v="mg/kg"/>
    <s v="OK"/>
    <x v="0"/>
  </r>
  <r>
    <x v="2"/>
    <x v="6"/>
    <d v="2023-11-15T18:42:00"/>
    <x v="2"/>
    <m/>
    <n v="52"/>
    <s v="mg/kg"/>
    <e v="#N/A"/>
    <x v="0"/>
  </r>
  <r>
    <x v="2"/>
    <x v="6"/>
    <d v="2023-11-15T18:42:00"/>
    <x v="3"/>
    <m/>
    <n v="43"/>
    <s v="mg/kg"/>
    <s v="OK"/>
    <x v="0"/>
  </r>
  <r>
    <x v="2"/>
    <x v="6"/>
    <d v="2023-11-15T18:42:00"/>
    <x v="4"/>
    <m/>
    <n v="68"/>
    <s v="mg/kg"/>
    <s v="OK"/>
    <x v="0"/>
  </r>
  <r>
    <x v="2"/>
    <x v="6"/>
    <d v="2023-11-15T18:42:00"/>
    <x v="5"/>
    <s v="&lt;"/>
    <n v="0.1"/>
    <s v="mg/kg"/>
    <s v="OK"/>
    <x v="0"/>
  </r>
  <r>
    <x v="2"/>
    <x v="6"/>
    <d v="2023-11-15T18:42:00"/>
    <x v="6"/>
    <m/>
    <n v="79"/>
    <s v="mg/kg"/>
    <s v="OK"/>
    <x v="0"/>
  </r>
  <r>
    <x v="2"/>
    <x v="6"/>
    <d v="2023-11-15T18:42:00"/>
    <x v="7"/>
    <m/>
    <n v="1950"/>
    <s v="mg/kg"/>
    <s v="OK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E13711-E10D-456F-9762-18B8A49207D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1" firstDataRow="2" firstDataCol="1"/>
  <pivotFields count="9">
    <pivotField axis="axisRow" showAll="0">
      <items count="4">
        <item x="0"/>
        <item x="1"/>
        <item x="2"/>
        <item t="default"/>
      </items>
    </pivotField>
    <pivotField axis="axisRow" showAll="0">
      <items count="8">
        <item x="2"/>
        <item x="4"/>
        <item x="3"/>
        <item x="0"/>
        <item x="1"/>
        <item x="5"/>
        <item x="6"/>
        <item t="default"/>
      </items>
    </pivotField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1"/>
        <item h="1" x="0"/>
        <item t="default"/>
      </items>
    </pivotField>
  </pivotFields>
  <rowFields count="2">
    <field x="0"/>
    <field x="1"/>
  </rowFields>
  <rowItems count="6">
    <i>
      <x/>
    </i>
    <i r="1">
      <x v="3"/>
    </i>
    <i r="1">
      <x v="4"/>
    </i>
    <i>
      <x v="2"/>
    </i>
    <i r="1">
      <x v="5"/>
    </i>
    <i t="grand">
      <x/>
    </i>
  </rowItems>
  <colFields count="1">
    <field x="8"/>
  </colFields>
  <colItems count="2">
    <i>
      <x/>
    </i>
    <i t="grand">
      <x/>
    </i>
  </colItems>
  <dataFields count="1">
    <dataField name="Count of Criteria Formula 2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9" totalsRowShown="0">
  <autoFilter ref="A1:B9" xr:uid="{00000000-0009-0000-0100-000001000000}"/>
  <tableColumns count="2">
    <tableColumn id="3" xr3:uid="{00000000-0010-0000-0000-000003000000}" name="Chem Name"/>
    <tableColumn id="5" xr3:uid="{00000000-0010-0000-0000-000005000000}" name="Action 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310D-54A3-45B1-8809-B742765EA5FD}">
  <dimension ref="A1:G57"/>
  <sheetViews>
    <sheetView workbookViewId="0">
      <selection activeCell="E2" sqref="E2"/>
    </sheetView>
  </sheetViews>
  <sheetFormatPr defaultRowHeight="15"/>
  <cols>
    <col min="1" max="1" width="15.85546875" style="17" bestFit="1" customWidth="1"/>
    <col min="2" max="2" width="8.7109375" style="17" bestFit="1" customWidth="1"/>
    <col min="3" max="3" width="15.7109375" style="16" bestFit="1" customWidth="1"/>
    <col min="4" max="4" width="14.140625" style="17" bestFit="1" customWidth="1"/>
    <col min="5" max="5" width="8.5703125" style="17" bestFit="1" customWidth="1"/>
    <col min="6" max="6" width="8.85546875" style="17" bestFit="1" customWidth="1"/>
    <col min="7" max="7" width="7.140625" style="17" bestFit="1" customWidth="1"/>
    <col min="8" max="16384" width="9.140625" style="17"/>
  </cols>
  <sheetData>
    <row r="1" spans="1:7">
      <c r="A1" s="19" t="s">
        <v>15</v>
      </c>
      <c r="B1" s="19" t="s">
        <v>17</v>
      </c>
      <c r="C1" s="20" t="s">
        <v>83</v>
      </c>
      <c r="D1" s="19" t="s">
        <v>70</v>
      </c>
      <c r="E1" s="19" t="s">
        <v>82</v>
      </c>
      <c r="F1" s="19" t="s">
        <v>84</v>
      </c>
      <c r="G1" s="19" t="s">
        <v>81</v>
      </c>
    </row>
    <row r="2" spans="1:7">
      <c r="A2" s="17" t="s">
        <v>18</v>
      </c>
      <c r="B2" s="17" t="s">
        <v>19</v>
      </c>
      <c r="C2" s="16">
        <v>45245.625</v>
      </c>
      <c r="D2" s="17" t="s">
        <v>1</v>
      </c>
      <c r="F2" s="17">
        <v>45</v>
      </c>
      <c r="G2" s="17" t="s">
        <v>9</v>
      </c>
    </row>
    <row r="3" spans="1:7">
      <c r="A3" s="17" t="s">
        <v>18</v>
      </c>
      <c r="B3" s="17" t="s">
        <v>19</v>
      </c>
      <c r="C3" s="16">
        <v>45245.625</v>
      </c>
      <c r="D3" s="17" t="s">
        <v>2</v>
      </c>
      <c r="F3" s="17">
        <v>24</v>
      </c>
      <c r="G3" s="17" t="s">
        <v>9</v>
      </c>
    </row>
    <row r="4" spans="1:7">
      <c r="A4" s="17" t="s">
        <v>18</v>
      </c>
      <c r="B4" s="17" t="s">
        <v>19</v>
      </c>
      <c r="C4" s="16">
        <v>45245.625</v>
      </c>
      <c r="D4" s="17" t="s">
        <v>3</v>
      </c>
      <c r="F4" s="17">
        <v>615</v>
      </c>
      <c r="G4" s="17" t="s">
        <v>9</v>
      </c>
    </row>
    <row r="5" spans="1:7">
      <c r="A5" s="17" t="s">
        <v>18</v>
      </c>
      <c r="B5" s="17" t="s">
        <v>19</v>
      </c>
      <c r="C5" s="16">
        <v>45245.625</v>
      </c>
      <c r="D5" s="17" t="s">
        <v>4</v>
      </c>
      <c r="F5" s="17">
        <v>253</v>
      </c>
      <c r="G5" s="17" t="s">
        <v>9</v>
      </c>
    </row>
    <row r="6" spans="1:7">
      <c r="A6" s="17" t="s">
        <v>18</v>
      </c>
      <c r="B6" s="17" t="s">
        <v>19</v>
      </c>
      <c r="C6" s="16">
        <v>45245.625</v>
      </c>
      <c r="D6" s="17" t="s">
        <v>5</v>
      </c>
      <c r="F6" s="17">
        <v>1800</v>
      </c>
      <c r="G6" s="17" t="s">
        <v>9</v>
      </c>
    </row>
    <row r="7" spans="1:7">
      <c r="A7" s="17" t="s">
        <v>18</v>
      </c>
      <c r="B7" s="17" t="s">
        <v>19</v>
      </c>
      <c r="C7" s="16">
        <v>45245.625</v>
      </c>
      <c r="D7" s="17" t="s">
        <v>6</v>
      </c>
      <c r="F7" s="17">
        <v>0.1</v>
      </c>
      <c r="G7" s="17" t="s">
        <v>9</v>
      </c>
    </row>
    <row r="8" spans="1:7">
      <c r="A8" s="17" t="s">
        <v>18</v>
      </c>
      <c r="B8" s="17" t="s">
        <v>19</v>
      </c>
      <c r="C8" s="16">
        <v>45245.625</v>
      </c>
      <c r="D8" s="17" t="s">
        <v>7</v>
      </c>
      <c r="F8" s="17">
        <v>694</v>
      </c>
      <c r="G8" s="17" t="s">
        <v>9</v>
      </c>
    </row>
    <row r="9" spans="1:7">
      <c r="A9" s="17" t="s">
        <v>18</v>
      </c>
      <c r="B9" s="17" t="s">
        <v>19</v>
      </c>
      <c r="C9" s="16">
        <v>45245.625</v>
      </c>
      <c r="D9" s="17" t="s">
        <v>8</v>
      </c>
      <c r="F9" s="17">
        <v>2340</v>
      </c>
      <c r="G9" s="17" t="s">
        <v>9</v>
      </c>
    </row>
    <row r="10" spans="1:7">
      <c r="A10" s="17" t="s">
        <v>18</v>
      </c>
      <c r="B10" s="17" t="s">
        <v>27</v>
      </c>
      <c r="C10" s="16">
        <v>45245.625</v>
      </c>
      <c r="D10" s="17" t="s">
        <v>1</v>
      </c>
      <c r="F10" s="17">
        <v>26</v>
      </c>
      <c r="G10" s="17" t="s">
        <v>9</v>
      </c>
    </row>
    <row r="11" spans="1:7">
      <c r="A11" s="17" t="s">
        <v>18</v>
      </c>
      <c r="B11" s="17" t="s">
        <v>27</v>
      </c>
      <c r="C11" s="16">
        <v>45245.625</v>
      </c>
      <c r="D11" s="17" t="s">
        <v>2</v>
      </c>
      <c r="F11" s="17">
        <v>5</v>
      </c>
      <c r="G11" s="17" t="s">
        <v>9</v>
      </c>
    </row>
    <row r="12" spans="1:7">
      <c r="A12" s="17" t="s">
        <v>18</v>
      </c>
      <c r="B12" s="17" t="s">
        <v>27</v>
      </c>
      <c r="C12" s="16">
        <v>45245.625</v>
      </c>
      <c r="D12" s="17" t="s">
        <v>3</v>
      </c>
      <c r="F12" s="17">
        <v>50</v>
      </c>
      <c r="G12" s="17" t="s">
        <v>9</v>
      </c>
    </row>
    <row r="13" spans="1:7">
      <c r="A13" s="17" t="s">
        <v>18</v>
      </c>
      <c r="B13" s="17" t="s">
        <v>27</v>
      </c>
      <c r="C13" s="16">
        <v>45245.625</v>
      </c>
      <c r="D13" s="17" t="s">
        <v>4</v>
      </c>
      <c r="F13" s="17">
        <v>2150</v>
      </c>
      <c r="G13" s="17" t="s">
        <v>9</v>
      </c>
    </row>
    <row r="14" spans="1:7">
      <c r="A14" s="17" t="s">
        <v>18</v>
      </c>
      <c r="B14" s="17" t="s">
        <v>27</v>
      </c>
      <c r="C14" s="16">
        <v>45245.625</v>
      </c>
      <c r="D14" s="17" t="s">
        <v>5</v>
      </c>
      <c r="F14" s="17">
        <v>837</v>
      </c>
      <c r="G14" s="17" t="s">
        <v>9</v>
      </c>
    </row>
    <row r="15" spans="1:7">
      <c r="A15" s="17" t="s">
        <v>18</v>
      </c>
      <c r="B15" s="17" t="s">
        <v>27</v>
      </c>
      <c r="C15" s="16">
        <v>45245.625</v>
      </c>
      <c r="D15" s="17" t="s">
        <v>6</v>
      </c>
      <c r="F15" s="17">
        <v>0.2</v>
      </c>
      <c r="G15" s="17" t="s">
        <v>9</v>
      </c>
    </row>
    <row r="16" spans="1:7">
      <c r="A16" s="17" t="s">
        <v>18</v>
      </c>
      <c r="B16" s="17" t="s">
        <v>27</v>
      </c>
      <c r="C16" s="16">
        <v>45245.625</v>
      </c>
      <c r="D16" s="17" t="s">
        <v>7</v>
      </c>
      <c r="F16" s="17">
        <v>88</v>
      </c>
      <c r="G16" s="17" t="s">
        <v>9</v>
      </c>
    </row>
    <row r="17" spans="1:7">
      <c r="A17" s="17" t="s">
        <v>18</v>
      </c>
      <c r="B17" s="17" t="s">
        <v>27</v>
      </c>
      <c r="C17" s="16">
        <v>45245.625</v>
      </c>
      <c r="D17" s="17" t="s">
        <v>8</v>
      </c>
      <c r="F17" s="17">
        <v>5310</v>
      </c>
      <c r="G17" s="17" t="s">
        <v>9</v>
      </c>
    </row>
    <row r="18" spans="1:7">
      <c r="A18" s="17" t="s">
        <v>35</v>
      </c>
      <c r="B18" s="17" t="s">
        <v>36</v>
      </c>
      <c r="C18" s="16">
        <v>45245.625</v>
      </c>
      <c r="D18" s="17" t="s">
        <v>1</v>
      </c>
      <c r="F18" s="17">
        <v>11</v>
      </c>
      <c r="G18" s="17" t="s">
        <v>9</v>
      </c>
    </row>
    <row r="19" spans="1:7">
      <c r="A19" s="17" t="s">
        <v>35</v>
      </c>
      <c r="B19" s="17" t="s">
        <v>36</v>
      </c>
      <c r="C19" s="16">
        <v>45245.625</v>
      </c>
      <c r="D19" s="17" t="s">
        <v>2</v>
      </c>
      <c r="E19" s="17" t="s">
        <v>80</v>
      </c>
      <c r="F19" s="17">
        <v>1</v>
      </c>
      <c r="G19" s="17" t="s">
        <v>9</v>
      </c>
    </row>
    <row r="20" spans="1:7">
      <c r="A20" s="17" t="s">
        <v>35</v>
      </c>
      <c r="B20" s="17" t="s">
        <v>36</v>
      </c>
      <c r="C20" s="16">
        <v>45245.625</v>
      </c>
      <c r="D20" s="17" t="s">
        <v>3</v>
      </c>
      <c r="F20" s="17">
        <v>42</v>
      </c>
      <c r="G20" s="17" t="s">
        <v>9</v>
      </c>
    </row>
    <row r="21" spans="1:7">
      <c r="A21" s="17" t="s">
        <v>35</v>
      </c>
      <c r="B21" s="17" t="s">
        <v>36</v>
      </c>
      <c r="C21" s="16">
        <v>45245.625</v>
      </c>
      <c r="D21" s="17" t="s">
        <v>4</v>
      </c>
      <c r="F21" s="17">
        <v>23</v>
      </c>
      <c r="G21" s="17" t="s">
        <v>9</v>
      </c>
    </row>
    <row r="22" spans="1:7">
      <c r="A22" s="17" t="s">
        <v>35</v>
      </c>
      <c r="B22" s="17" t="s">
        <v>36</v>
      </c>
      <c r="C22" s="16">
        <v>45245.625</v>
      </c>
      <c r="D22" s="17" t="s">
        <v>5</v>
      </c>
      <c r="F22" s="17">
        <v>22</v>
      </c>
      <c r="G22" s="17" t="s">
        <v>9</v>
      </c>
    </row>
    <row r="23" spans="1:7">
      <c r="A23" s="17" t="s">
        <v>35</v>
      </c>
      <c r="B23" s="17" t="s">
        <v>36</v>
      </c>
      <c r="C23" s="16">
        <v>45245.625</v>
      </c>
      <c r="D23" s="17" t="s">
        <v>6</v>
      </c>
      <c r="E23" s="17" t="s">
        <v>80</v>
      </c>
      <c r="F23" s="17">
        <v>0.1</v>
      </c>
      <c r="G23" s="17" t="s">
        <v>9</v>
      </c>
    </row>
    <row r="24" spans="1:7">
      <c r="A24" s="17" t="s">
        <v>35</v>
      </c>
      <c r="B24" s="17" t="s">
        <v>36</v>
      </c>
      <c r="C24" s="16">
        <v>45245.625</v>
      </c>
      <c r="D24" s="17" t="s">
        <v>7</v>
      </c>
      <c r="F24" s="17">
        <v>37</v>
      </c>
      <c r="G24" s="17" t="s">
        <v>9</v>
      </c>
    </row>
    <row r="25" spans="1:7">
      <c r="A25" s="17" t="s">
        <v>35</v>
      </c>
      <c r="B25" s="17" t="s">
        <v>36</v>
      </c>
      <c r="C25" s="16">
        <v>45245.625</v>
      </c>
      <c r="D25" s="17" t="s">
        <v>8</v>
      </c>
      <c r="F25" s="17">
        <v>72</v>
      </c>
      <c r="G25" s="17" t="s">
        <v>9</v>
      </c>
    </row>
    <row r="26" spans="1:7">
      <c r="A26" s="17" t="s">
        <v>35</v>
      </c>
      <c r="B26" s="17" t="s">
        <v>45</v>
      </c>
      <c r="C26" s="16">
        <v>45245.625</v>
      </c>
      <c r="D26" s="17" t="s">
        <v>1</v>
      </c>
      <c r="F26" s="17">
        <v>6</v>
      </c>
      <c r="G26" s="17" t="s">
        <v>9</v>
      </c>
    </row>
    <row r="27" spans="1:7">
      <c r="A27" s="17" t="s">
        <v>35</v>
      </c>
      <c r="B27" s="17" t="s">
        <v>45</v>
      </c>
      <c r="C27" s="16">
        <v>45245.625</v>
      </c>
      <c r="D27" s="17" t="s">
        <v>2</v>
      </c>
      <c r="E27" s="17" t="s">
        <v>80</v>
      </c>
      <c r="F27" s="17">
        <v>1</v>
      </c>
      <c r="G27" s="17" t="s">
        <v>9</v>
      </c>
    </row>
    <row r="28" spans="1:7">
      <c r="A28" s="17" t="s">
        <v>35</v>
      </c>
      <c r="B28" s="17" t="s">
        <v>45</v>
      </c>
      <c r="C28" s="16">
        <v>45245.625</v>
      </c>
      <c r="D28" s="17" t="s">
        <v>3</v>
      </c>
      <c r="F28" s="17">
        <v>28</v>
      </c>
      <c r="G28" s="17" t="s">
        <v>9</v>
      </c>
    </row>
    <row r="29" spans="1:7">
      <c r="A29" s="17" t="s">
        <v>35</v>
      </c>
      <c r="B29" s="17" t="s">
        <v>45</v>
      </c>
      <c r="C29" s="16">
        <v>45245.625</v>
      </c>
      <c r="D29" s="17" t="s">
        <v>4</v>
      </c>
      <c r="F29" s="17">
        <v>49</v>
      </c>
      <c r="G29" s="17" t="s">
        <v>9</v>
      </c>
    </row>
    <row r="30" spans="1:7">
      <c r="A30" s="17" t="s">
        <v>35</v>
      </c>
      <c r="B30" s="17" t="s">
        <v>45</v>
      </c>
      <c r="C30" s="16">
        <v>45245.625</v>
      </c>
      <c r="D30" s="17" t="s">
        <v>5</v>
      </c>
      <c r="F30" s="17">
        <v>184</v>
      </c>
      <c r="G30" s="17" t="s">
        <v>9</v>
      </c>
    </row>
    <row r="31" spans="1:7">
      <c r="A31" s="17" t="s">
        <v>35</v>
      </c>
      <c r="B31" s="17" t="s">
        <v>45</v>
      </c>
      <c r="C31" s="16">
        <v>45245.625</v>
      </c>
      <c r="D31" s="17" t="s">
        <v>6</v>
      </c>
      <c r="E31" s="17" t="s">
        <v>80</v>
      </c>
      <c r="F31" s="17">
        <v>0.1</v>
      </c>
      <c r="G31" s="17" t="s">
        <v>9</v>
      </c>
    </row>
    <row r="32" spans="1:7">
      <c r="A32" s="17" t="s">
        <v>35</v>
      </c>
      <c r="B32" s="17" t="s">
        <v>45</v>
      </c>
      <c r="C32" s="16">
        <v>45245.625</v>
      </c>
      <c r="D32" s="17" t="s">
        <v>7</v>
      </c>
      <c r="F32" s="17">
        <v>26</v>
      </c>
      <c r="G32" s="17" t="s">
        <v>9</v>
      </c>
    </row>
    <row r="33" spans="1:7">
      <c r="A33" s="17" t="s">
        <v>35</v>
      </c>
      <c r="B33" s="17" t="s">
        <v>45</v>
      </c>
      <c r="C33" s="16">
        <v>45245.625</v>
      </c>
      <c r="D33" s="17" t="s">
        <v>8</v>
      </c>
      <c r="F33" s="17">
        <v>225</v>
      </c>
      <c r="G33" s="17" t="s">
        <v>9</v>
      </c>
    </row>
    <row r="34" spans="1:7">
      <c r="A34" s="17" t="s">
        <v>51</v>
      </c>
      <c r="B34" s="17" t="s">
        <v>52</v>
      </c>
      <c r="C34" s="16">
        <v>45245.625</v>
      </c>
      <c r="D34" s="17" t="s">
        <v>1</v>
      </c>
      <c r="F34" s="17">
        <v>5</v>
      </c>
      <c r="G34" s="17" t="s">
        <v>9</v>
      </c>
    </row>
    <row r="35" spans="1:7">
      <c r="A35" s="17" t="s">
        <v>51</v>
      </c>
      <c r="B35" s="17" t="s">
        <v>52</v>
      </c>
      <c r="C35" s="16">
        <v>45245.625</v>
      </c>
      <c r="D35" s="17" t="s">
        <v>2</v>
      </c>
      <c r="E35" s="17" t="s">
        <v>80</v>
      </c>
      <c r="F35" s="17">
        <v>1</v>
      </c>
      <c r="G35" s="17" t="s">
        <v>9</v>
      </c>
    </row>
    <row r="36" spans="1:7">
      <c r="A36" s="17" t="s">
        <v>51</v>
      </c>
      <c r="B36" s="17" t="s">
        <v>52</v>
      </c>
      <c r="C36" s="16">
        <v>45245.625</v>
      </c>
      <c r="D36" s="17" t="s">
        <v>3</v>
      </c>
      <c r="F36" s="17">
        <v>56</v>
      </c>
      <c r="G36" s="17" t="s">
        <v>9</v>
      </c>
    </row>
    <row r="37" spans="1:7">
      <c r="A37" s="17" t="s">
        <v>51</v>
      </c>
      <c r="B37" s="17" t="s">
        <v>52</v>
      </c>
      <c r="C37" s="16">
        <v>45245.625</v>
      </c>
      <c r="D37" s="17" t="s">
        <v>4</v>
      </c>
      <c r="F37" s="17">
        <v>22</v>
      </c>
      <c r="G37" s="17" t="s">
        <v>9</v>
      </c>
    </row>
    <row r="38" spans="1:7">
      <c r="A38" s="17" t="s">
        <v>51</v>
      </c>
      <c r="B38" s="17" t="s">
        <v>52</v>
      </c>
      <c r="C38" s="16">
        <v>45245.625</v>
      </c>
      <c r="D38" s="17" t="s">
        <v>5</v>
      </c>
      <c r="F38" s="17">
        <v>26</v>
      </c>
      <c r="G38" s="17" t="s">
        <v>9</v>
      </c>
    </row>
    <row r="39" spans="1:7">
      <c r="A39" s="17" t="s">
        <v>51</v>
      </c>
      <c r="B39" s="17" t="s">
        <v>52</v>
      </c>
      <c r="C39" s="16">
        <v>45245.625</v>
      </c>
      <c r="D39" s="17" t="s">
        <v>6</v>
      </c>
      <c r="E39" s="17" t="s">
        <v>80</v>
      </c>
      <c r="F39" s="17">
        <v>0.1</v>
      </c>
      <c r="G39" s="17" t="s">
        <v>9</v>
      </c>
    </row>
    <row r="40" spans="1:7">
      <c r="A40" s="17" t="s">
        <v>51</v>
      </c>
      <c r="B40" s="17" t="s">
        <v>52</v>
      </c>
      <c r="C40" s="16">
        <v>45245.625</v>
      </c>
      <c r="D40" s="17" t="s">
        <v>7</v>
      </c>
      <c r="F40" s="17">
        <v>55</v>
      </c>
      <c r="G40" s="17" t="s">
        <v>9</v>
      </c>
    </row>
    <row r="41" spans="1:7">
      <c r="A41" s="17" t="s">
        <v>51</v>
      </c>
      <c r="B41" s="17" t="s">
        <v>52</v>
      </c>
      <c r="C41" s="16">
        <v>45245.625</v>
      </c>
      <c r="D41" s="17" t="s">
        <v>8</v>
      </c>
      <c r="F41" s="17">
        <v>344</v>
      </c>
      <c r="G41" s="17" t="s">
        <v>9</v>
      </c>
    </row>
    <row r="42" spans="1:7">
      <c r="A42" s="17" t="s">
        <v>51</v>
      </c>
      <c r="B42" s="17" t="s">
        <v>56</v>
      </c>
      <c r="C42" s="16">
        <v>45245.625</v>
      </c>
      <c r="D42" s="17" t="s">
        <v>1</v>
      </c>
      <c r="F42" s="17">
        <v>12</v>
      </c>
      <c r="G42" s="17" t="s">
        <v>9</v>
      </c>
    </row>
    <row r="43" spans="1:7">
      <c r="A43" s="17" t="s">
        <v>51</v>
      </c>
      <c r="B43" s="17" t="s">
        <v>56</v>
      </c>
      <c r="C43" s="16">
        <v>45245.625</v>
      </c>
      <c r="D43" s="17" t="s">
        <v>2</v>
      </c>
      <c r="F43" s="17">
        <v>2</v>
      </c>
      <c r="G43" s="17" t="s">
        <v>9</v>
      </c>
    </row>
    <row r="44" spans="1:7">
      <c r="A44" s="17" t="s">
        <v>51</v>
      </c>
      <c r="B44" s="17" t="s">
        <v>56</v>
      </c>
      <c r="C44" s="16">
        <v>45245.625</v>
      </c>
      <c r="D44" s="17" t="s">
        <v>3</v>
      </c>
      <c r="F44" s="17">
        <v>34</v>
      </c>
      <c r="G44" s="17" t="s">
        <v>9</v>
      </c>
    </row>
    <row r="45" spans="1:7">
      <c r="A45" s="17" t="s">
        <v>51</v>
      </c>
      <c r="B45" s="17" t="s">
        <v>56</v>
      </c>
      <c r="C45" s="16">
        <v>45245.625</v>
      </c>
      <c r="D45" s="17" t="s">
        <v>4</v>
      </c>
      <c r="F45" s="17">
        <v>1460</v>
      </c>
      <c r="G45" s="17" t="s">
        <v>9</v>
      </c>
    </row>
    <row r="46" spans="1:7">
      <c r="A46" s="17" t="s">
        <v>51</v>
      </c>
      <c r="B46" s="17" t="s">
        <v>56</v>
      </c>
      <c r="C46" s="16">
        <v>45245.625</v>
      </c>
      <c r="D46" s="17" t="s">
        <v>5</v>
      </c>
      <c r="F46" s="17">
        <v>557</v>
      </c>
      <c r="G46" s="17" t="s">
        <v>9</v>
      </c>
    </row>
    <row r="47" spans="1:7">
      <c r="A47" s="17" t="s">
        <v>51</v>
      </c>
      <c r="B47" s="17" t="s">
        <v>56</v>
      </c>
      <c r="C47" s="16">
        <v>45245.625</v>
      </c>
      <c r="D47" s="17" t="s">
        <v>6</v>
      </c>
      <c r="E47" s="17" t="s">
        <v>80</v>
      </c>
      <c r="F47" s="17">
        <v>0.1</v>
      </c>
      <c r="G47" s="17" t="s">
        <v>9</v>
      </c>
    </row>
    <row r="48" spans="1:7">
      <c r="A48" s="17" t="s">
        <v>51</v>
      </c>
      <c r="B48" s="17" t="s">
        <v>56</v>
      </c>
      <c r="C48" s="16">
        <v>45245.625</v>
      </c>
      <c r="D48" s="17" t="s">
        <v>7</v>
      </c>
      <c r="F48" s="17">
        <v>80</v>
      </c>
      <c r="G48" s="17" t="s">
        <v>9</v>
      </c>
    </row>
    <row r="49" spans="1:7">
      <c r="A49" s="17" t="s">
        <v>51</v>
      </c>
      <c r="B49" s="17" t="s">
        <v>56</v>
      </c>
      <c r="C49" s="16">
        <v>45245.625</v>
      </c>
      <c r="D49" s="17" t="s">
        <v>8</v>
      </c>
      <c r="F49" s="17">
        <v>30000</v>
      </c>
      <c r="G49" s="17" t="s">
        <v>9</v>
      </c>
    </row>
    <row r="50" spans="1:7">
      <c r="A50" s="17" t="s">
        <v>51</v>
      </c>
      <c r="B50" s="17" t="s">
        <v>63</v>
      </c>
      <c r="C50" s="16">
        <v>45245.779166666704</v>
      </c>
      <c r="D50" s="17" t="s">
        <v>1</v>
      </c>
      <c r="E50" s="17" t="s">
        <v>80</v>
      </c>
      <c r="F50" s="17">
        <v>5</v>
      </c>
      <c r="G50" s="17" t="s">
        <v>9</v>
      </c>
    </row>
    <row r="51" spans="1:7">
      <c r="A51" s="17" t="s">
        <v>51</v>
      </c>
      <c r="B51" s="17" t="s">
        <v>63</v>
      </c>
      <c r="C51" s="16">
        <v>45245.779166666704</v>
      </c>
      <c r="D51" s="17" t="s">
        <v>2</v>
      </c>
      <c r="E51" s="17" t="s">
        <v>80</v>
      </c>
      <c r="F51" s="17">
        <v>1</v>
      </c>
      <c r="G51" s="17" t="s">
        <v>9</v>
      </c>
    </row>
    <row r="52" spans="1:7">
      <c r="A52" s="17" t="s">
        <v>51</v>
      </c>
      <c r="B52" s="17" t="s">
        <v>63</v>
      </c>
      <c r="C52" s="16">
        <v>45245.779166666704</v>
      </c>
      <c r="D52" s="17" t="s">
        <v>3</v>
      </c>
      <c r="F52" s="17">
        <v>52</v>
      </c>
      <c r="G52" s="17" t="s">
        <v>9</v>
      </c>
    </row>
    <row r="53" spans="1:7">
      <c r="A53" s="17" t="s">
        <v>51</v>
      </c>
      <c r="B53" s="17" t="s">
        <v>63</v>
      </c>
      <c r="C53" s="16">
        <v>45245.779166666704</v>
      </c>
      <c r="D53" s="17" t="s">
        <v>4</v>
      </c>
      <c r="F53" s="17">
        <v>43</v>
      </c>
      <c r="G53" s="17" t="s">
        <v>9</v>
      </c>
    </row>
    <row r="54" spans="1:7">
      <c r="A54" s="17" t="s">
        <v>51</v>
      </c>
      <c r="B54" s="17" t="s">
        <v>63</v>
      </c>
      <c r="C54" s="16">
        <v>45245.779166666704</v>
      </c>
      <c r="D54" s="17" t="s">
        <v>5</v>
      </c>
      <c r="F54" s="17">
        <v>68</v>
      </c>
      <c r="G54" s="17" t="s">
        <v>9</v>
      </c>
    </row>
    <row r="55" spans="1:7">
      <c r="A55" s="17" t="s">
        <v>51</v>
      </c>
      <c r="B55" s="17" t="s">
        <v>63</v>
      </c>
      <c r="C55" s="16">
        <v>45245.779166666704</v>
      </c>
      <c r="D55" s="17" t="s">
        <v>6</v>
      </c>
      <c r="E55" s="17" t="s">
        <v>80</v>
      </c>
      <c r="F55" s="17">
        <v>0.1</v>
      </c>
      <c r="G55" s="17" t="s">
        <v>9</v>
      </c>
    </row>
    <row r="56" spans="1:7">
      <c r="A56" s="17" t="s">
        <v>51</v>
      </c>
      <c r="B56" s="17" t="s">
        <v>63</v>
      </c>
      <c r="C56" s="16">
        <v>45245.779166666704</v>
      </c>
      <c r="D56" s="17" t="s">
        <v>7</v>
      </c>
      <c r="F56" s="17">
        <v>79</v>
      </c>
      <c r="G56" s="17" t="s">
        <v>9</v>
      </c>
    </row>
    <row r="57" spans="1:7">
      <c r="A57" s="17" t="s">
        <v>51</v>
      </c>
      <c r="B57" s="17" t="s">
        <v>63</v>
      </c>
      <c r="C57" s="16">
        <v>45245.779166666704</v>
      </c>
      <c r="D57" s="17" t="s">
        <v>8</v>
      </c>
      <c r="F57" s="17">
        <v>1950</v>
      </c>
      <c r="G57" s="17" t="s">
        <v>9</v>
      </c>
    </row>
  </sheetData>
  <autoFilter ref="A1:G57" xr:uid="{53C3310D-54A3-45B1-8809-B742765EA5FD}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="112" zoomScaleNormal="112" workbookViewId="0">
      <selection activeCell="A7" sqref="A7"/>
    </sheetView>
  </sheetViews>
  <sheetFormatPr defaultRowHeight="15"/>
  <cols>
    <col min="1" max="2" width="19.7109375" customWidth="1"/>
  </cols>
  <sheetData>
    <row r="1" spans="1:2">
      <c r="A1" t="s">
        <v>70</v>
      </c>
      <c r="B1" t="s">
        <v>71</v>
      </c>
    </row>
    <row r="2" spans="1:2">
      <c r="A2" t="s">
        <v>5</v>
      </c>
      <c r="B2" t="s">
        <v>72</v>
      </c>
    </row>
    <row r="3" spans="1:2">
      <c r="A3" t="s">
        <v>6</v>
      </c>
      <c r="B3" t="s">
        <v>73</v>
      </c>
    </row>
    <row r="4" spans="1:2">
      <c r="A4" t="s">
        <v>7</v>
      </c>
      <c r="B4" t="s">
        <v>74</v>
      </c>
    </row>
    <row r="5" spans="1:2">
      <c r="A5" t="s">
        <v>1</v>
      </c>
      <c r="B5" t="s">
        <v>75</v>
      </c>
    </row>
    <row r="6" spans="1:2">
      <c r="A6" t="s">
        <v>2</v>
      </c>
      <c r="B6" t="s">
        <v>76</v>
      </c>
    </row>
    <row r="7" spans="1:2">
      <c r="A7" t="s">
        <v>77</v>
      </c>
      <c r="B7" t="s">
        <v>75</v>
      </c>
    </row>
    <row r="8" spans="1:2">
      <c r="A8" t="s">
        <v>4</v>
      </c>
      <c r="B8" t="s">
        <v>78</v>
      </c>
    </row>
    <row r="9" spans="1:2">
      <c r="A9" t="s">
        <v>8</v>
      </c>
      <c r="B9" t="s">
        <v>79</v>
      </c>
    </row>
  </sheetData>
  <pageMargins left="0.74803149606299213" right="0.74803149606299213" top="0.74803149606299213" bottom="0.74803149606299213" header="0.51181102362204722" footer="0.51181102362204722"/>
  <pageSetup paperSize="8" scale="7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4417-6181-4903-8C73-68791CCB77F7}">
  <dimension ref="A1:I57"/>
  <sheetViews>
    <sheetView workbookViewId="0">
      <selection activeCell="G5" sqref="G5"/>
    </sheetView>
  </sheetViews>
  <sheetFormatPr defaultRowHeight="15"/>
  <cols>
    <col min="1" max="1" width="15.85546875" style="17" bestFit="1" customWidth="1"/>
    <col min="2" max="2" width="8.7109375" style="17" bestFit="1" customWidth="1"/>
    <col min="3" max="3" width="15.7109375" style="16" bestFit="1" customWidth="1"/>
    <col min="4" max="4" width="14.140625" style="17" bestFit="1" customWidth="1"/>
    <col min="5" max="5" width="8.5703125" style="17" bestFit="1" customWidth="1"/>
    <col min="6" max="6" width="8.85546875" style="17" bestFit="1" customWidth="1"/>
    <col min="7" max="7" width="7.140625" style="17" bestFit="1" customWidth="1"/>
    <col min="8" max="9" width="19.140625" style="17" bestFit="1" customWidth="1"/>
    <col min="10" max="10" width="9.140625" style="17"/>
    <col min="11" max="12" width="10" style="17" bestFit="1" customWidth="1"/>
    <col min="13" max="16384" width="9.140625" style="17"/>
  </cols>
  <sheetData>
    <row r="1" spans="1:9">
      <c r="A1" s="19" t="s">
        <v>15</v>
      </c>
      <c r="B1" s="19" t="s">
        <v>17</v>
      </c>
      <c r="C1" s="20" t="s">
        <v>83</v>
      </c>
      <c r="D1" s="19" t="s">
        <v>70</v>
      </c>
      <c r="E1" s="19" t="s">
        <v>82</v>
      </c>
      <c r="F1" s="19" t="s">
        <v>84</v>
      </c>
      <c r="G1" s="19" t="s">
        <v>81</v>
      </c>
      <c r="H1" s="26" t="s">
        <v>85</v>
      </c>
      <c r="I1" s="26" t="s">
        <v>86</v>
      </c>
    </row>
    <row r="2" spans="1:9">
      <c r="A2" s="17" t="s">
        <v>18</v>
      </c>
      <c r="B2" s="17" t="s">
        <v>19</v>
      </c>
      <c r="C2" s="16">
        <v>45245.625</v>
      </c>
      <c r="D2" s="17" t="s">
        <v>1</v>
      </c>
      <c r="F2" s="17">
        <v>45</v>
      </c>
      <c r="G2" s="17" t="s">
        <v>9</v>
      </c>
      <c r="H2" s="17" t="str">
        <f>IF(
   IF(E2="&lt;",F2/2,F2) &gt;
   VALUE(LEFT(_xlfn.XLOOKUP(D2,Criteria!A:A,Criteria!B:B),FIND(" ",_xlfn.XLOOKUP(D2,Criteria!A:A,Criteria!B:B))-1)),
   "Exceeds",
   "OK"
)</f>
        <v>OK</v>
      </c>
      <c r="I2" s="17" t="str">
        <f>IFERROR(
  _xlfn.LET(
    _xlpm.chem, D2,
    _xlpm.prefix, E2,
    _xlpm.result, F2,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3" spans="1:9">
      <c r="A3" s="17" t="s">
        <v>18</v>
      </c>
      <c r="B3" s="17" t="s">
        <v>19</v>
      </c>
      <c r="C3" s="16">
        <v>45245.625</v>
      </c>
      <c r="D3" s="17" t="s">
        <v>2</v>
      </c>
      <c r="F3" s="17">
        <v>24</v>
      </c>
      <c r="G3" s="17" t="s">
        <v>9</v>
      </c>
      <c r="H3" s="17" t="str">
        <f>IF(
   IF(E3="&lt;",F3/2,F3) &gt;
   VALUE(LEFT(_xlfn.XLOOKUP(D3,Criteria!A:A,Criteria!B:B),FIND(" ",_xlfn.XLOOKUP(D3,Criteria!A:A,Criteria!B:B))-1)),
   "Exceeds",
   "OK"
)</f>
        <v>Exceeds</v>
      </c>
      <c r="I3" s="17" t="str">
        <f>IFERROR(
  _xlfn.LET(
    _xlpm.chem, D3,
    _xlpm.prefix, E3,
    _xlpm.result, F3,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Exceeds</v>
      </c>
    </row>
    <row r="4" spans="1:9">
      <c r="A4" s="17" t="s">
        <v>18</v>
      </c>
      <c r="B4" s="17" t="s">
        <v>19</v>
      </c>
      <c r="C4" s="16">
        <v>45245.625</v>
      </c>
      <c r="D4" s="17" t="s">
        <v>3</v>
      </c>
      <c r="F4" s="17">
        <v>615</v>
      </c>
      <c r="G4" s="17" t="s">
        <v>9</v>
      </c>
      <c r="H4" s="17" t="e">
        <f>IF(
   IF(E4="&lt;",F4/2,F4) &gt;
   VALUE(LEFT(_xlfn.XLOOKUP(D4,Criteria!A:A,Criteria!B:B),FIND(" ",_xlfn.XLOOKUP(D4,Criteria!A:A,Criteria!B:B))-1)),
   "Exceeds",
   "OK"
)</f>
        <v>#N/A</v>
      </c>
      <c r="I4" s="17" t="str">
        <f>IFERROR(
  _xlfn.LET(
    _xlpm.chem, D4,
    _xlpm.prefix, E4,
    _xlpm.result, F4,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Exceeds</v>
      </c>
    </row>
    <row r="5" spans="1:9">
      <c r="A5" s="17" t="s">
        <v>18</v>
      </c>
      <c r="B5" s="17" t="s">
        <v>19</v>
      </c>
      <c r="C5" s="16">
        <v>45245.625</v>
      </c>
      <c r="D5" s="17" t="s">
        <v>4</v>
      </c>
      <c r="F5" s="17">
        <v>253</v>
      </c>
      <c r="G5" s="17" t="s">
        <v>9</v>
      </c>
      <c r="H5" s="17" t="str">
        <f>IF(
   IF(E5="&lt;",F5/2,F5) &gt;
   VALUE(LEFT(_xlfn.XLOOKUP(D5,Criteria!A:A,Criteria!B:B),FIND(" ",_xlfn.XLOOKUP(D5,Criteria!A:A,Criteria!B:B))-1)),
   "Exceeds",
   "OK"
)</f>
        <v>OK</v>
      </c>
      <c r="I5" s="17" t="str">
        <f>IFERROR(
  _xlfn.LET(
    _xlpm.chem, D5,
    _xlpm.prefix, E5,
    _xlpm.result, F5,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6" spans="1:9">
      <c r="A6" s="17" t="s">
        <v>18</v>
      </c>
      <c r="B6" s="17" t="s">
        <v>19</v>
      </c>
      <c r="C6" s="16">
        <v>45245.625</v>
      </c>
      <c r="D6" s="17" t="s">
        <v>5</v>
      </c>
      <c r="F6" s="17">
        <v>1800</v>
      </c>
      <c r="G6" s="17" t="s">
        <v>9</v>
      </c>
      <c r="H6" s="17" t="str">
        <f>IF(
   IF(E6="&lt;",F6/2,F6) &gt;
   VALUE(LEFT(_xlfn.XLOOKUP(D6,Criteria!A:A,Criteria!B:B),FIND(" ",_xlfn.XLOOKUP(D6,Criteria!A:A,Criteria!B:B))-1)),
   "Exceeds",
   "OK"
)</f>
        <v>Exceeds</v>
      </c>
      <c r="I6" s="17" t="str">
        <f>IFERROR(
  _xlfn.LET(
    _xlpm.chem, D6,
    _xlpm.prefix, E6,
    _xlpm.result, F6,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Exceeds</v>
      </c>
    </row>
    <row r="7" spans="1:9">
      <c r="A7" s="17" t="s">
        <v>18</v>
      </c>
      <c r="B7" s="17" t="s">
        <v>19</v>
      </c>
      <c r="C7" s="16">
        <v>45245.625</v>
      </c>
      <c r="D7" s="17" t="s">
        <v>6</v>
      </c>
      <c r="F7" s="17">
        <v>0.1</v>
      </c>
      <c r="G7" s="17" t="s">
        <v>9</v>
      </c>
      <c r="H7" s="17" t="str">
        <f>IF(
   IF(E7="&lt;",F7/2,F7) &gt;
   VALUE(LEFT(_xlfn.XLOOKUP(D7,Criteria!A:A,Criteria!B:B),FIND(" ",_xlfn.XLOOKUP(D7,Criteria!A:A,Criteria!B:B))-1)),
   "Exceeds",
   "OK"
)</f>
        <v>OK</v>
      </c>
      <c r="I7" s="17" t="str">
        <f>IFERROR(
  _xlfn.LET(
    _xlpm.chem, D7,
    _xlpm.prefix, E7,
    _xlpm.result, F7,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8" spans="1:9">
      <c r="A8" s="17" t="s">
        <v>18</v>
      </c>
      <c r="B8" s="17" t="s">
        <v>19</v>
      </c>
      <c r="C8" s="16">
        <v>45245.625</v>
      </c>
      <c r="D8" s="17" t="s">
        <v>7</v>
      </c>
      <c r="F8" s="17">
        <v>694</v>
      </c>
      <c r="G8" s="17" t="s">
        <v>9</v>
      </c>
      <c r="H8" s="17" t="str">
        <f>IF(
   IF(E8="&lt;",F8/2,F8) &gt;
   VALUE(LEFT(_xlfn.XLOOKUP(D8,Criteria!A:A,Criteria!B:B),FIND(" ",_xlfn.XLOOKUP(D8,Criteria!A:A,Criteria!B:B))-1)),
   "Exceeds",
   "OK"
)</f>
        <v>Exceeds</v>
      </c>
      <c r="I8" s="17" t="str">
        <f>IFERROR(
  _xlfn.LET(
    _xlpm.chem, D8,
    _xlpm.prefix, E8,
    _xlpm.result, F8,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Exceeds</v>
      </c>
    </row>
    <row r="9" spans="1:9">
      <c r="A9" s="17" t="s">
        <v>18</v>
      </c>
      <c r="B9" s="17" t="s">
        <v>19</v>
      </c>
      <c r="C9" s="16">
        <v>45245.625</v>
      </c>
      <c r="D9" s="17" t="s">
        <v>8</v>
      </c>
      <c r="F9" s="17">
        <v>2340</v>
      </c>
      <c r="G9" s="17" t="s">
        <v>9</v>
      </c>
      <c r="H9" s="17" t="str">
        <f>IF(
   IF(E9="&lt;",F9/2,F9) &gt;
   VALUE(LEFT(_xlfn.XLOOKUP(D9,Criteria!A:A,Criteria!B:B),FIND(" ",_xlfn.XLOOKUP(D9,Criteria!A:A,Criteria!B:B))-1)),
   "Exceeds",
   "OK"
)</f>
        <v>OK</v>
      </c>
      <c r="I9" s="17" t="str">
        <f>IFERROR(
  _xlfn.LET(
    _xlpm.chem, D9,
    _xlpm.prefix, E9,
    _xlpm.result, F9,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10" spans="1:9">
      <c r="A10" s="17" t="s">
        <v>18</v>
      </c>
      <c r="B10" s="17" t="s">
        <v>27</v>
      </c>
      <c r="C10" s="16">
        <v>45245.625</v>
      </c>
      <c r="D10" s="17" t="s">
        <v>1</v>
      </c>
      <c r="F10" s="17">
        <v>26</v>
      </c>
      <c r="G10" s="17" t="s">
        <v>9</v>
      </c>
      <c r="H10" s="17" t="str">
        <f>IF(
   IF(E10="&lt;",F10/2,F10) &gt;
   VALUE(LEFT(_xlfn.XLOOKUP(D10,Criteria!A:A,Criteria!B:B),FIND(" ",_xlfn.XLOOKUP(D10,Criteria!A:A,Criteria!B:B))-1)),
   "Exceeds",
   "OK"
)</f>
        <v>OK</v>
      </c>
      <c r="I10" s="17" t="str">
        <f>IFERROR(
  _xlfn.LET(
    _xlpm.chem, D10,
    _xlpm.prefix, E10,
    _xlpm.result, F10,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11" spans="1:9">
      <c r="A11" s="17" t="s">
        <v>18</v>
      </c>
      <c r="B11" s="17" t="s">
        <v>27</v>
      </c>
      <c r="C11" s="16">
        <v>45245.625</v>
      </c>
      <c r="D11" s="17" t="s">
        <v>2</v>
      </c>
      <c r="F11" s="17">
        <v>5</v>
      </c>
      <c r="G11" s="17" t="s">
        <v>9</v>
      </c>
      <c r="H11" s="17" t="str">
        <f>IF(
   IF(E11="&lt;",F11/2,F11) &gt;
   VALUE(LEFT(_xlfn.XLOOKUP(D11,Criteria!A:A,Criteria!B:B),FIND(" ",_xlfn.XLOOKUP(D11,Criteria!A:A,Criteria!B:B))-1)),
   "Exceeds",
   "OK"
)</f>
        <v>OK</v>
      </c>
      <c r="I11" s="17" t="str">
        <f>IFERROR(
  _xlfn.LET(
    _xlpm.chem, D11,
    _xlpm.prefix, E11,
    _xlpm.result, F11,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12" spans="1:9">
      <c r="A12" s="17" t="s">
        <v>18</v>
      </c>
      <c r="B12" s="17" t="s">
        <v>27</v>
      </c>
      <c r="C12" s="16">
        <v>45245.625</v>
      </c>
      <c r="D12" s="17" t="s">
        <v>3</v>
      </c>
      <c r="F12" s="17">
        <v>50</v>
      </c>
      <c r="G12" s="17" t="s">
        <v>9</v>
      </c>
      <c r="H12" s="17" t="e">
        <f>IF(
   IF(E12="&lt;",F12/2,F12) &gt;
   VALUE(LEFT(_xlfn.XLOOKUP(D12,Criteria!A:A,Criteria!B:B),FIND(" ",_xlfn.XLOOKUP(D12,Criteria!A:A,Criteria!B:B))-1)),
   "Exceeds",
   "OK"
)</f>
        <v>#N/A</v>
      </c>
      <c r="I12" s="17" t="str">
        <f>IFERROR(
  _xlfn.LET(
    _xlpm.chem, D12,
    _xlpm.prefix, E12,
    _xlpm.result, F12,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13" spans="1:9">
      <c r="A13" s="17" t="s">
        <v>18</v>
      </c>
      <c r="B13" s="17" t="s">
        <v>27</v>
      </c>
      <c r="C13" s="16">
        <v>45245.625</v>
      </c>
      <c r="D13" s="17" t="s">
        <v>4</v>
      </c>
      <c r="F13" s="17">
        <v>2150</v>
      </c>
      <c r="G13" s="17" t="s">
        <v>9</v>
      </c>
      <c r="H13" s="17" t="str">
        <f>IF(
   IF(E13="&lt;",F13/2,F13) &gt;
   VALUE(LEFT(_xlfn.XLOOKUP(D13,Criteria!A:A,Criteria!B:B),FIND(" ",_xlfn.XLOOKUP(D13,Criteria!A:A,Criteria!B:B))-1)),
   "Exceeds",
   "OK"
)</f>
        <v>OK</v>
      </c>
      <c r="I13" s="17" t="str">
        <f>IFERROR(
  _xlfn.LET(
    _xlpm.chem, D13,
    _xlpm.prefix, E13,
    _xlpm.result, F13,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14" spans="1:9">
      <c r="A14" s="17" t="s">
        <v>18</v>
      </c>
      <c r="B14" s="17" t="s">
        <v>27</v>
      </c>
      <c r="C14" s="16">
        <v>45245.625</v>
      </c>
      <c r="D14" s="17" t="s">
        <v>5</v>
      </c>
      <c r="F14" s="17">
        <v>837</v>
      </c>
      <c r="G14" s="17" t="s">
        <v>9</v>
      </c>
      <c r="H14" s="17" t="str">
        <f>IF(
   IF(E14="&lt;",F14/2,F14) &gt;
   VALUE(LEFT(_xlfn.XLOOKUP(D14,Criteria!A:A,Criteria!B:B),FIND(" ",_xlfn.XLOOKUP(D14,Criteria!A:A,Criteria!B:B))-1)),
   "Exceeds",
   "OK"
)</f>
        <v>Exceeds</v>
      </c>
      <c r="I14" s="17" t="str">
        <f>IFERROR(
  _xlfn.LET(
    _xlpm.chem, D14,
    _xlpm.prefix, E14,
    _xlpm.result, F14,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Exceeds</v>
      </c>
    </row>
    <row r="15" spans="1:9">
      <c r="A15" s="17" t="s">
        <v>18</v>
      </c>
      <c r="B15" s="17" t="s">
        <v>27</v>
      </c>
      <c r="C15" s="16">
        <v>45245.625</v>
      </c>
      <c r="D15" s="17" t="s">
        <v>6</v>
      </c>
      <c r="F15" s="17">
        <v>0.2</v>
      </c>
      <c r="G15" s="17" t="s">
        <v>9</v>
      </c>
      <c r="H15" s="17" t="str">
        <f>IF(
   IF(E15="&lt;",F15/2,F15) &gt;
   VALUE(LEFT(_xlfn.XLOOKUP(D15,Criteria!A:A,Criteria!B:B),FIND(" ",_xlfn.XLOOKUP(D15,Criteria!A:A,Criteria!B:B))-1)),
   "Exceeds",
   "OK"
)</f>
        <v>OK</v>
      </c>
      <c r="I15" s="17" t="str">
        <f>IFERROR(
  _xlfn.LET(
    _xlpm.chem, D15,
    _xlpm.prefix, E15,
    _xlpm.result, F15,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16" spans="1:9">
      <c r="A16" s="17" t="s">
        <v>18</v>
      </c>
      <c r="B16" s="17" t="s">
        <v>27</v>
      </c>
      <c r="C16" s="16">
        <v>45245.625</v>
      </c>
      <c r="D16" s="17" t="s">
        <v>7</v>
      </c>
      <c r="F16" s="17">
        <v>88</v>
      </c>
      <c r="G16" s="17" t="s">
        <v>9</v>
      </c>
      <c r="H16" s="17" t="str">
        <f>IF(
   IF(E16="&lt;",F16/2,F16) &gt;
   VALUE(LEFT(_xlfn.XLOOKUP(D16,Criteria!A:A,Criteria!B:B),FIND(" ",_xlfn.XLOOKUP(D16,Criteria!A:A,Criteria!B:B))-1)),
   "Exceeds",
   "OK"
)</f>
        <v>OK</v>
      </c>
      <c r="I16" s="17" t="str">
        <f>IFERROR(
  _xlfn.LET(
    _xlpm.chem, D16,
    _xlpm.prefix, E16,
    _xlpm.result, F16,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17" spans="1:9">
      <c r="A17" s="17" t="s">
        <v>18</v>
      </c>
      <c r="B17" s="17" t="s">
        <v>27</v>
      </c>
      <c r="C17" s="16">
        <v>45245.625</v>
      </c>
      <c r="D17" s="17" t="s">
        <v>8</v>
      </c>
      <c r="F17" s="17">
        <v>5310</v>
      </c>
      <c r="G17" s="17" t="s">
        <v>9</v>
      </c>
      <c r="H17" s="17" t="str">
        <f>IF(
   IF(E17="&lt;",F17/2,F17) &gt;
   VALUE(LEFT(_xlfn.XLOOKUP(D17,Criteria!A:A,Criteria!B:B),FIND(" ",_xlfn.XLOOKUP(D17,Criteria!A:A,Criteria!B:B))-1)),
   "Exceeds",
   "OK"
)</f>
        <v>OK</v>
      </c>
      <c r="I17" s="17" t="str">
        <f>IFERROR(
  _xlfn.LET(
    _xlpm.chem, D17,
    _xlpm.prefix, E17,
    _xlpm.result, F17,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18" spans="1:9">
      <c r="A18" s="17" t="s">
        <v>35</v>
      </c>
      <c r="B18" s="17" t="s">
        <v>36</v>
      </c>
      <c r="C18" s="16">
        <v>45245.625</v>
      </c>
      <c r="D18" s="17" t="s">
        <v>1</v>
      </c>
      <c r="F18" s="17">
        <v>11</v>
      </c>
      <c r="G18" s="17" t="s">
        <v>9</v>
      </c>
      <c r="H18" s="17" t="str">
        <f>IF(
   IF(E18="&lt;",F18/2,F18) &gt;
   VALUE(LEFT(_xlfn.XLOOKUP(D18,Criteria!A:A,Criteria!B:B),FIND(" ",_xlfn.XLOOKUP(D18,Criteria!A:A,Criteria!B:B))-1)),
   "Exceeds",
   "OK"
)</f>
        <v>OK</v>
      </c>
      <c r="I18" s="17" t="str">
        <f>IFERROR(
  _xlfn.LET(
    _xlpm.chem, D18,
    _xlpm.prefix, E18,
    _xlpm.result, F18,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19" spans="1:9">
      <c r="A19" s="17" t="s">
        <v>35</v>
      </c>
      <c r="B19" s="17" t="s">
        <v>36</v>
      </c>
      <c r="C19" s="16">
        <v>45245.625</v>
      </c>
      <c r="D19" s="17" t="s">
        <v>2</v>
      </c>
      <c r="E19" s="17" t="s">
        <v>80</v>
      </c>
      <c r="F19" s="17">
        <v>1</v>
      </c>
      <c r="G19" s="17" t="s">
        <v>9</v>
      </c>
      <c r="H19" s="17" t="str">
        <f>IF(
   IF(E19="&lt;",F19/2,F19) &gt;
   VALUE(LEFT(_xlfn.XLOOKUP(D19,Criteria!A:A,Criteria!B:B),FIND(" ",_xlfn.XLOOKUP(D19,Criteria!A:A,Criteria!B:B))-1)),
   "Exceeds",
   "OK"
)</f>
        <v>OK</v>
      </c>
      <c r="I19" s="17" t="str">
        <f>IFERROR(
  _xlfn.LET(
    _xlpm.chem, D19,
    _xlpm.prefix, E19,
    _xlpm.result, F19,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20" spans="1:9">
      <c r="A20" s="17" t="s">
        <v>35</v>
      </c>
      <c r="B20" s="17" t="s">
        <v>36</v>
      </c>
      <c r="C20" s="16">
        <v>45245.625</v>
      </c>
      <c r="D20" s="17" t="s">
        <v>3</v>
      </c>
      <c r="F20" s="17">
        <v>42</v>
      </c>
      <c r="G20" s="17" t="s">
        <v>9</v>
      </c>
      <c r="H20" s="17" t="e">
        <f>IF(
   IF(E20="&lt;",F20/2,F20) &gt;
   VALUE(LEFT(_xlfn.XLOOKUP(D20,Criteria!A:A,Criteria!B:B),FIND(" ",_xlfn.XLOOKUP(D20,Criteria!A:A,Criteria!B:B))-1)),
   "Exceeds",
   "OK"
)</f>
        <v>#N/A</v>
      </c>
      <c r="I20" s="17" t="str">
        <f>IFERROR(
  _xlfn.LET(
    _xlpm.chem, D20,
    _xlpm.prefix, E20,
    _xlpm.result, F20,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21" spans="1:9">
      <c r="A21" s="17" t="s">
        <v>35</v>
      </c>
      <c r="B21" s="17" t="s">
        <v>36</v>
      </c>
      <c r="C21" s="16">
        <v>45245.625</v>
      </c>
      <c r="D21" s="17" t="s">
        <v>4</v>
      </c>
      <c r="F21" s="17">
        <v>23</v>
      </c>
      <c r="G21" s="17" t="s">
        <v>9</v>
      </c>
      <c r="H21" s="17" t="str">
        <f>IF(
   IF(E21="&lt;",F21/2,F21) &gt;
   VALUE(LEFT(_xlfn.XLOOKUP(D21,Criteria!A:A,Criteria!B:B),FIND(" ",_xlfn.XLOOKUP(D21,Criteria!A:A,Criteria!B:B))-1)),
   "Exceeds",
   "OK"
)</f>
        <v>OK</v>
      </c>
      <c r="I21" s="17" t="str">
        <f>IFERROR(
  _xlfn.LET(
    _xlpm.chem, D21,
    _xlpm.prefix, E21,
    _xlpm.result, F21,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22" spans="1:9">
      <c r="A22" s="17" t="s">
        <v>35</v>
      </c>
      <c r="B22" s="17" t="s">
        <v>36</v>
      </c>
      <c r="C22" s="16">
        <v>45245.625</v>
      </c>
      <c r="D22" s="17" t="s">
        <v>5</v>
      </c>
      <c r="F22" s="17">
        <v>22</v>
      </c>
      <c r="G22" s="17" t="s">
        <v>9</v>
      </c>
      <c r="H22" s="17" t="str">
        <f>IF(
   IF(E22="&lt;",F22/2,F22) &gt;
   VALUE(LEFT(_xlfn.XLOOKUP(D22,Criteria!A:A,Criteria!B:B),FIND(" ",_xlfn.XLOOKUP(D22,Criteria!A:A,Criteria!B:B))-1)),
   "Exceeds",
   "OK"
)</f>
        <v>OK</v>
      </c>
      <c r="I22" s="17" t="str">
        <f>IFERROR(
  _xlfn.LET(
    _xlpm.chem, D22,
    _xlpm.prefix, E22,
    _xlpm.result, F22,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23" spans="1:9">
      <c r="A23" s="17" t="s">
        <v>35</v>
      </c>
      <c r="B23" s="17" t="s">
        <v>36</v>
      </c>
      <c r="C23" s="16">
        <v>45245.625</v>
      </c>
      <c r="D23" s="17" t="s">
        <v>6</v>
      </c>
      <c r="E23" s="17" t="s">
        <v>80</v>
      </c>
      <c r="F23" s="17">
        <v>0.1</v>
      </c>
      <c r="G23" s="17" t="s">
        <v>9</v>
      </c>
      <c r="H23" s="17" t="str">
        <f>IF(
   IF(E23="&lt;",F23/2,F23) &gt;
   VALUE(LEFT(_xlfn.XLOOKUP(D23,Criteria!A:A,Criteria!B:B),FIND(" ",_xlfn.XLOOKUP(D23,Criteria!A:A,Criteria!B:B))-1)),
   "Exceeds",
   "OK"
)</f>
        <v>OK</v>
      </c>
      <c r="I23" s="17" t="str">
        <f>IFERROR(
  _xlfn.LET(
    _xlpm.chem, D23,
    _xlpm.prefix, E23,
    _xlpm.result, F23,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24" spans="1:9">
      <c r="A24" s="17" t="s">
        <v>35</v>
      </c>
      <c r="B24" s="17" t="s">
        <v>36</v>
      </c>
      <c r="C24" s="16">
        <v>45245.625</v>
      </c>
      <c r="D24" s="17" t="s">
        <v>7</v>
      </c>
      <c r="F24" s="17">
        <v>37</v>
      </c>
      <c r="G24" s="17" t="s">
        <v>9</v>
      </c>
      <c r="H24" s="17" t="str">
        <f>IF(
   IF(E24="&lt;",F24/2,F24) &gt;
   VALUE(LEFT(_xlfn.XLOOKUP(D24,Criteria!A:A,Criteria!B:B),FIND(" ",_xlfn.XLOOKUP(D24,Criteria!A:A,Criteria!B:B))-1)),
   "Exceeds",
   "OK"
)</f>
        <v>OK</v>
      </c>
      <c r="I24" s="17" t="str">
        <f>IFERROR(
  _xlfn.LET(
    _xlpm.chem, D24,
    _xlpm.prefix, E24,
    _xlpm.result, F24,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25" spans="1:9">
      <c r="A25" s="17" t="s">
        <v>35</v>
      </c>
      <c r="B25" s="17" t="s">
        <v>36</v>
      </c>
      <c r="C25" s="16">
        <v>45245.625</v>
      </c>
      <c r="D25" s="17" t="s">
        <v>8</v>
      </c>
      <c r="F25" s="17">
        <v>72</v>
      </c>
      <c r="G25" s="17" t="s">
        <v>9</v>
      </c>
      <c r="H25" s="17" t="str">
        <f>IF(
   IF(E25="&lt;",F25/2,F25) &gt;
   VALUE(LEFT(_xlfn.XLOOKUP(D25,Criteria!A:A,Criteria!B:B),FIND(" ",_xlfn.XLOOKUP(D25,Criteria!A:A,Criteria!B:B))-1)),
   "Exceeds",
   "OK"
)</f>
        <v>OK</v>
      </c>
      <c r="I25" s="17" t="str">
        <f>IFERROR(
  _xlfn.LET(
    _xlpm.chem, D25,
    _xlpm.prefix, E25,
    _xlpm.result, F25,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26" spans="1:9">
      <c r="A26" s="17" t="s">
        <v>35</v>
      </c>
      <c r="B26" s="17" t="s">
        <v>45</v>
      </c>
      <c r="C26" s="16">
        <v>45245.625</v>
      </c>
      <c r="D26" s="17" t="s">
        <v>1</v>
      </c>
      <c r="F26" s="17">
        <v>6</v>
      </c>
      <c r="G26" s="17" t="s">
        <v>9</v>
      </c>
      <c r="H26" s="17" t="str">
        <f>IF(
   IF(E26="&lt;",F26/2,F26) &gt;
   VALUE(LEFT(_xlfn.XLOOKUP(D26,Criteria!A:A,Criteria!B:B),FIND(" ",_xlfn.XLOOKUP(D26,Criteria!A:A,Criteria!B:B))-1)),
   "Exceeds",
   "OK"
)</f>
        <v>OK</v>
      </c>
      <c r="I26" s="17" t="str">
        <f>IFERROR(
  _xlfn.LET(
    _xlpm.chem, D26,
    _xlpm.prefix, E26,
    _xlpm.result, F26,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27" spans="1:9">
      <c r="A27" s="17" t="s">
        <v>35</v>
      </c>
      <c r="B27" s="17" t="s">
        <v>45</v>
      </c>
      <c r="C27" s="16">
        <v>45245.625</v>
      </c>
      <c r="D27" s="17" t="s">
        <v>2</v>
      </c>
      <c r="E27" s="17" t="s">
        <v>80</v>
      </c>
      <c r="F27" s="17">
        <v>1</v>
      </c>
      <c r="G27" s="17" t="s">
        <v>9</v>
      </c>
      <c r="H27" s="17" t="str">
        <f>IF(
   IF(E27="&lt;",F27/2,F27) &gt;
   VALUE(LEFT(_xlfn.XLOOKUP(D27,Criteria!A:A,Criteria!B:B),FIND(" ",_xlfn.XLOOKUP(D27,Criteria!A:A,Criteria!B:B))-1)),
   "Exceeds",
   "OK"
)</f>
        <v>OK</v>
      </c>
      <c r="I27" s="17" t="str">
        <f>IFERROR(
  _xlfn.LET(
    _xlpm.chem, D27,
    _xlpm.prefix, E27,
    _xlpm.result, F27,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28" spans="1:9">
      <c r="A28" s="17" t="s">
        <v>35</v>
      </c>
      <c r="B28" s="17" t="s">
        <v>45</v>
      </c>
      <c r="C28" s="16">
        <v>45245.625</v>
      </c>
      <c r="D28" s="17" t="s">
        <v>3</v>
      </c>
      <c r="F28" s="17">
        <v>28</v>
      </c>
      <c r="G28" s="17" t="s">
        <v>9</v>
      </c>
      <c r="H28" s="17" t="e">
        <f>IF(
   IF(E28="&lt;",F28/2,F28) &gt;
   VALUE(LEFT(_xlfn.XLOOKUP(D28,Criteria!A:A,Criteria!B:B),FIND(" ",_xlfn.XLOOKUP(D28,Criteria!A:A,Criteria!B:B))-1)),
   "Exceeds",
   "OK"
)</f>
        <v>#N/A</v>
      </c>
      <c r="I28" s="17" t="str">
        <f>IFERROR(
  _xlfn.LET(
    _xlpm.chem, D28,
    _xlpm.prefix, E28,
    _xlpm.result, F28,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29" spans="1:9">
      <c r="A29" s="17" t="s">
        <v>35</v>
      </c>
      <c r="B29" s="17" t="s">
        <v>45</v>
      </c>
      <c r="C29" s="16">
        <v>45245.625</v>
      </c>
      <c r="D29" s="17" t="s">
        <v>4</v>
      </c>
      <c r="F29" s="17">
        <v>49</v>
      </c>
      <c r="G29" s="17" t="s">
        <v>9</v>
      </c>
      <c r="H29" s="17" t="str">
        <f>IF(
   IF(E29="&lt;",F29/2,F29) &gt;
   VALUE(LEFT(_xlfn.XLOOKUP(D29,Criteria!A:A,Criteria!B:B),FIND(" ",_xlfn.XLOOKUP(D29,Criteria!A:A,Criteria!B:B))-1)),
   "Exceeds",
   "OK"
)</f>
        <v>OK</v>
      </c>
      <c r="I29" s="17" t="str">
        <f>IFERROR(
  _xlfn.LET(
    _xlpm.chem, D29,
    _xlpm.prefix, E29,
    _xlpm.result, F29,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30" spans="1:9">
      <c r="A30" s="17" t="s">
        <v>35</v>
      </c>
      <c r="B30" s="17" t="s">
        <v>45</v>
      </c>
      <c r="C30" s="16">
        <v>45245.625</v>
      </c>
      <c r="D30" s="17" t="s">
        <v>5</v>
      </c>
      <c r="F30" s="17">
        <v>184</v>
      </c>
      <c r="G30" s="17" t="s">
        <v>9</v>
      </c>
      <c r="H30" s="17" t="str">
        <f>IF(
   IF(E30="&lt;",F30/2,F30) &gt;
   VALUE(LEFT(_xlfn.XLOOKUP(D30,Criteria!A:A,Criteria!B:B),FIND(" ",_xlfn.XLOOKUP(D30,Criteria!A:A,Criteria!B:B))-1)),
   "Exceeds",
   "OK"
)</f>
        <v>OK</v>
      </c>
      <c r="I30" s="17" t="str">
        <f>IFERROR(
  _xlfn.LET(
    _xlpm.chem, D30,
    _xlpm.prefix, E30,
    _xlpm.result, F30,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31" spans="1:9">
      <c r="A31" s="17" t="s">
        <v>35</v>
      </c>
      <c r="B31" s="17" t="s">
        <v>45</v>
      </c>
      <c r="C31" s="16">
        <v>45245.625</v>
      </c>
      <c r="D31" s="17" t="s">
        <v>6</v>
      </c>
      <c r="E31" s="17" t="s">
        <v>80</v>
      </c>
      <c r="F31" s="17">
        <v>0.1</v>
      </c>
      <c r="G31" s="17" t="s">
        <v>9</v>
      </c>
      <c r="H31" s="17" t="str">
        <f>IF(
   IF(E31="&lt;",F31/2,F31) &gt;
   VALUE(LEFT(_xlfn.XLOOKUP(D31,Criteria!A:A,Criteria!B:B),FIND(" ",_xlfn.XLOOKUP(D31,Criteria!A:A,Criteria!B:B))-1)),
   "Exceeds",
   "OK"
)</f>
        <v>OK</v>
      </c>
      <c r="I31" s="17" t="str">
        <f>IFERROR(
  _xlfn.LET(
    _xlpm.chem, D31,
    _xlpm.prefix, E31,
    _xlpm.result, F31,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32" spans="1:9">
      <c r="A32" s="17" t="s">
        <v>35</v>
      </c>
      <c r="B32" s="17" t="s">
        <v>45</v>
      </c>
      <c r="C32" s="16">
        <v>45245.625</v>
      </c>
      <c r="D32" s="17" t="s">
        <v>7</v>
      </c>
      <c r="F32" s="17">
        <v>26</v>
      </c>
      <c r="G32" s="17" t="s">
        <v>9</v>
      </c>
      <c r="H32" s="17" t="str">
        <f>IF(
   IF(E32="&lt;",F32/2,F32) &gt;
   VALUE(LEFT(_xlfn.XLOOKUP(D32,Criteria!A:A,Criteria!B:B),FIND(" ",_xlfn.XLOOKUP(D32,Criteria!A:A,Criteria!B:B))-1)),
   "Exceeds",
   "OK"
)</f>
        <v>OK</v>
      </c>
      <c r="I32" s="17" t="str">
        <f>IFERROR(
  _xlfn.LET(
    _xlpm.chem, D32,
    _xlpm.prefix, E32,
    _xlpm.result, F32,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33" spans="1:9">
      <c r="A33" s="17" t="s">
        <v>35</v>
      </c>
      <c r="B33" s="17" t="s">
        <v>45</v>
      </c>
      <c r="C33" s="16">
        <v>45245.625</v>
      </c>
      <c r="D33" s="17" t="s">
        <v>8</v>
      </c>
      <c r="F33" s="17">
        <v>225</v>
      </c>
      <c r="G33" s="17" t="s">
        <v>9</v>
      </c>
      <c r="H33" s="17" t="str">
        <f>IF(
   IF(E33="&lt;",F33/2,F33) &gt;
   VALUE(LEFT(_xlfn.XLOOKUP(D33,Criteria!A:A,Criteria!B:B),FIND(" ",_xlfn.XLOOKUP(D33,Criteria!A:A,Criteria!B:B))-1)),
   "Exceeds",
   "OK"
)</f>
        <v>OK</v>
      </c>
      <c r="I33" s="17" t="str">
        <f>IFERROR(
  _xlfn.LET(
    _xlpm.chem, D33,
    _xlpm.prefix, E33,
    _xlpm.result, F33,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34" spans="1:9">
      <c r="A34" s="17" t="s">
        <v>51</v>
      </c>
      <c r="B34" s="17" t="s">
        <v>52</v>
      </c>
      <c r="C34" s="16">
        <v>45245.625</v>
      </c>
      <c r="D34" s="17" t="s">
        <v>1</v>
      </c>
      <c r="F34" s="17">
        <v>5</v>
      </c>
      <c r="G34" s="17" t="s">
        <v>9</v>
      </c>
      <c r="H34" s="17" t="str">
        <f>IF(
   IF(E34="&lt;",F34/2,F34) &gt;
   VALUE(LEFT(_xlfn.XLOOKUP(D34,Criteria!A:A,Criteria!B:B),FIND(" ",_xlfn.XLOOKUP(D34,Criteria!A:A,Criteria!B:B))-1)),
   "Exceeds",
   "OK"
)</f>
        <v>OK</v>
      </c>
      <c r="I34" s="17" t="str">
        <f>IFERROR(
  _xlfn.LET(
    _xlpm.chem, D34,
    _xlpm.prefix, E34,
    _xlpm.result, F34,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35" spans="1:9">
      <c r="A35" s="17" t="s">
        <v>51</v>
      </c>
      <c r="B35" s="17" t="s">
        <v>52</v>
      </c>
      <c r="C35" s="16">
        <v>45245.625</v>
      </c>
      <c r="D35" s="17" t="s">
        <v>2</v>
      </c>
      <c r="E35" s="17" t="s">
        <v>80</v>
      </c>
      <c r="F35" s="17">
        <v>1</v>
      </c>
      <c r="G35" s="17" t="s">
        <v>9</v>
      </c>
      <c r="H35" s="17" t="str">
        <f>IF(
   IF(E35="&lt;",F35/2,F35) &gt;
   VALUE(LEFT(_xlfn.XLOOKUP(D35,Criteria!A:A,Criteria!B:B),FIND(" ",_xlfn.XLOOKUP(D35,Criteria!A:A,Criteria!B:B))-1)),
   "Exceeds",
   "OK"
)</f>
        <v>OK</v>
      </c>
      <c r="I35" s="17" t="str">
        <f>IFERROR(
  _xlfn.LET(
    _xlpm.chem, D35,
    _xlpm.prefix, E35,
    _xlpm.result, F35,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36" spans="1:9">
      <c r="A36" s="17" t="s">
        <v>51</v>
      </c>
      <c r="B36" s="17" t="s">
        <v>52</v>
      </c>
      <c r="C36" s="16">
        <v>45245.625</v>
      </c>
      <c r="D36" s="17" t="s">
        <v>3</v>
      </c>
      <c r="F36" s="17">
        <v>56</v>
      </c>
      <c r="G36" s="17" t="s">
        <v>9</v>
      </c>
      <c r="H36" s="17" t="e">
        <f>IF(
   IF(E36="&lt;",F36/2,F36) &gt;
   VALUE(LEFT(_xlfn.XLOOKUP(D36,Criteria!A:A,Criteria!B:B),FIND(" ",_xlfn.XLOOKUP(D36,Criteria!A:A,Criteria!B:B))-1)),
   "Exceeds",
   "OK"
)</f>
        <v>#N/A</v>
      </c>
      <c r="I36" s="17" t="str">
        <f>IFERROR(
  _xlfn.LET(
    _xlpm.chem, D36,
    _xlpm.prefix, E36,
    _xlpm.result, F36,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37" spans="1:9">
      <c r="A37" s="17" t="s">
        <v>51</v>
      </c>
      <c r="B37" s="17" t="s">
        <v>52</v>
      </c>
      <c r="C37" s="16">
        <v>45245.625</v>
      </c>
      <c r="D37" s="17" t="s">
        <v>4</v>
      </c>
      <c r="F37" s="17">
        <v>22</v>
      </c>
      <c r="G37" s="17" t="s">
        <v>9</v>
      </c>
      <c r="H37" s="17" t="str">
        <f>IF(
   IF(E37="&lt;",F37/2,F37) &gt;
   VALUE(LEFT(_xlfn.XLOOKUP(D37,Criteria!A:A,Criteria!B:B),FIND(" ",_xlfn.XLOOKUP(D37,Criteria!A:A,Criteria!B:B))-1)),
   "Exceeds",
   "OK"
)</f>
        <v>OK</v>
      </c>
      <c r="I37" s="17" t="str">
        <f>IFERROR(
  _xlfn.LET(
    _xlpm.chem, D37,
    _xlpm.prefix, E37,
    _xlpm.result, F37,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38" spans="1:9">
      <c r="A38" s="17" t="s">
        <v>51</v>
      </c>
      <c r="B38" s="17" t="s">
        <v>52</v>
      </c>
      <c r="C38" s="16">
        <v>45245.625</v>
      </c>
      <c r="D38" s="17" t="s">
        <v>5</v>
      </c>
      <c r="F38" s="17">
        <v>26</v>
      </c>
      <c r="G38" s="17" t="s">
        <v>9</v>
      </c>
      <c r="H38" s="17" t="str">
        <f>IF(
   IF(E38="&lt;",F38/2,F38) &gt;
   VALUE(LEFT(_xlfn.XLOOKUP(D38,Criteria!A:A,Criteria!B:B),FIND(" ",_xlfn.XLOOKUP(D38,Criteria!A:A,Criteria!B:B))-1)),
   "Exceeds",
   "OK"
)</f>
        <v>OK</v>
      </c>
      <c r="I38" s="17" t="str">
        <f>IFERROR(
  _xlfn.LET(
    _xlpm.chem, D38,
    _xlpm.prefix, E38,
    _xlpm.result, F38,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39" spans="1:9">
      <c r="A39" s="17" t="s">
        <v>51</v>
      </c>
      <c r="B39" s="17" t="s">
        <v>52</v>
      </c>
      <c r="C39" s="16">
        <v>45245.625</v>
      </c>
      <c r="D39" s="17" t="s">
        <v>6</v>
      </c>
      <c r="E39" s="17" t="s">
        <v>80</v>
      </c>
      <c r="F39" s="17">
        <v>0.1</v>
      </c>
      <c r="G39" s="17" t="s">
        <v>9</v>
      </c>
      <c r="H39" s="17" t="str">
        <f>IF(
   IF(E39="&lt;",F39/2,F39) &gt;
   VALUE(LEFT(_xlfn.XLOOKUP(D39,Criteria!A:A,Criteria!B:B),FIND(" ",_xlfn.XLOOKUP(D39,Criteria!A:A,Criteria!B:B))-1)),
   "Exceeds",
   "OK"
)</f>
        <v>OK</v>
      </c>
      <c r="I39" s="17" t="str">
        <f>IFERROR(
  _xlfn.LET(
    _xlpm.chem, D39,
    _xlpm.prefix, E39,
    _xlpm.result, F39,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40" spans="1:9">
      <c r="A40" s="17" t="s">
        <v>51</v>
      </c>
      <c r="B40" s="17" t="s">
        <v>52</v>
      </c>
      <c r="C40" s="16">
        <v>45245.625</v>
      </c>
      <c r="D40" s="17" t="s">
        <v>7</v>
      </c>
      <c r="F40" s="17">
        <v>55</v>
      </c>
      <c r="G40" s="17" t="s">
        <v>9</v>
      </c>
      <c r="H40" s="17" t="str">
        <f>IF(
   IF(E40="&lt;",F40/2,F40) &gt;
   VALUE(LEFT(_xlfn.XLOOKUP(D40,Criteria!A:A,Criteria!B:B),FIND(" ",_xlfn.XLOOKUP(D40,Criteria!A:A,Criteria!B:B))-1)),
   "Exceeds",
   "OK"
)</f>
        <v>OK</v>
      </c>
      <c r="I40" s="17" t="str">
        <f>IFERROR(
  _xlfn.LET(
    _xlpm.chem, D40,
    _xlpm.prefix, E40,
    _xlpm.result, F40,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41" spans="1:9">
      <c r="A41" s="17" t="s">
        <v>51</v>
      </c>
      <c r="B41" s="17" t="s">
        <v>52</v>
      </c>
      <c r="C41" s="16">
        <v>45245.625</v>
      </c>
      <c r="D41" s="17" t="s">
        <v>8</v>
      </c>
      <c r="F41" s="17">
        <v>344</v>
      </c>
      <c r="G41" s="17" t="s">
        <v>9</v>
      </c>
      <c r="H41" s="17" t="str">
        <f>IF(
   IF(E41="&lt;",F41/2,F41) &gt;
   VALUE(LEFT(_xlfn.XLOOKUP(D41,Criteria!A:A,Criteria!B:B),FIND(" ",_xlfn.XLOOKUP(D41,Criteria!A:A,Criteria!B:B))-1)),
   "Exceeds",
   "OK"
)</f>
        <v>OK</v>
      </c>
      <c r="I41" s="17" t="str">
        <f>IFERROR(
  _xlfn.LET(
    _xlpm.chem, D41,
    _xlpm.prefix, E41,
    _xlpm.result, F41,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42" spans="1:9">
      <c r="A42" s="17" t="s">
        <v>51</v>
      </c>
      <c r="B42" s="17" t="s">
        <v>56</v>
      </c>
      <c r="C42" s="16">
        <v>45245.625</v>
      </c>
      <c r="D42" s="17" t="s">
        <v>1</v>
      </c>
      <c r="F42" s="17">
        <v>12</v>
      </c>
      <c r="G42" s="17" t="s">
        <v>9</v>
      </c>
      <c r="H42" s="17" t="str">
        <f>IF(
   IF(E42="&lt;",F42/2,F42) &gt;
   VALUE(LEFT(_xlfn.XLOOKUP(D42,Criteria!A:A,Criteria!B:B),FIND(" ",_xlfn.XLOOKUP(D42,Criteria!A:A,Criteria!B:B))-1)),
   "Exceeds",
   "OK"
)</f>
        <v>OK</v>
      </c>
      <c r="I42" s="17" t="str">
        <f>IFERROR(
  _xlfn.LET(
    _xlpm.chem, D42,
    _xlpm.prefix, E42,
    _xlpm.result, F42,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43" spans="1:9">
      <c r="A43" s="17" t="s">
        <v>51</v>
      </c>
      <c r="B43" s="17" t="s">
        <v>56</v>
      </c>
      <c r="C43" s="16">
        <v>45245.625</v>
      </c>
      <c r="D43" s="17" t="s">
        <v>2</v>
      </c>
      <c r="F43" s="17">
        <v>2</v>
      </c>
      <c r="G43" s="17" t="s">
        <v>9</v>
      </c>
      <c r="H43" s="17" t="str">
        <f>IF(
   IF(E43="&lt;",F43/2,F43) &gt;
   VALUE(LEFT(_xlfn.XLOOKUP(D43,Criteria!A:A,Criteria!B:B),FIND(" ",_xlfn.XLOOKUP(D43,Criteria!A:A,Criteria!B:B))-1)),
   "Exceeds",
   "OK"
)</f>
        <v>OK</v>
      </c>
      <c r="I43" s="17" t="str">
        <f>IFERROR(
  _xlfn.LET(
    _xlpm.chem, D43,
    _xlpm.prefix, E43,
    _xlpm.result, F43,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44" spans="1:9">
      <c r="A44" s="17" t="s">
        <v>51</v>
      </c>
      <c r="B44" s="17" t="s">
        <v>56</v>
      </c>
      <c r="C44" s="16">
        <v>45245.625</v>
      </c>
      <c r="D44" s="17" t="s">
        <v>3</v>
      </c>
      <c r="F44" s="17">
        <v>34</v>
      </c>
      <c r="G44" s="17" t="s">
        <v>9</v>
      </c>
      <c r="H44" s="17" t="e">
        <f>IF(
   IF(E44="&lt;",F44/2,F44) &gt;
   VALUE(LEFT(_xlfn.XLOOKUP(D44,Criteria!A:A,Criteria!B:B),FIND(" ",_xlfn.XLOOKUP(D44,Criteria!A:A,Criteria!B:B))-1)),
   "Exceeds",
   "OK"
)</f>
        <v>#N/A</v>
      </c>
      <c r="I44" s="17" t="str">
        <f>IFERROR(
  _xlfn.LET(
    _xlpm.chem, D44,
    _xlpm.prefix, E44,
    _xlpm.result, F44,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45" spans="1:9">
      <c r="A45" s="17" t="s">
        <v>51</v>
      </c>
      <c r="B45" s="17" t="s">
        <v>56</v>
      </c>
      <c r="C45" s="16">
        <v>45245.625</v>
      </c>
      <c r="D45" s="17" t="s">
        <v>4</v>
      </c>
      <c r="F45" s="17">
        <v>1460</v>
      </c>
      <c r="G45" s="17" t="s">
        <v>9</v>
      </c>
      <c r="H45" s="17" t="str">
        <f>IF(
   IF(E45="&lt;",F45/2,F45) &gt;
   VALUE(LEFT(_xlfn.XLOOKUP(D45,Criteria!A:A,Criteria!B:B),FIND(" ",_xlfn.XLOOKUP(D45,Criteria!A:A,Criteria!B:B))-1)),
   "Exceeds",
   "OK"
)</f>
        <v>OK</v>
      </c>
      <c r="I45" s="17" t="str">
        <f>IFERROR(
  _xlfn.LET(
    _xlpm.chem, D45,
    _xlpm.prefix, E45,
    _xlpm.result, F45,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46" spans="1:9">
      <c r="A46" s="17" t="s">
        <v>51</v>
      </c>
      <c r="B46" s="17" t="s">
        <v>56</v>
      </c>
      <c r="C46" s="16">
        <v>45245.625</v>
      </c>
      <c r="D46" s="17" t="s">
        <v>5</v>
      </c>
      <c r="F46" s="17">
        <v>557</v>
      </c>
      <c r="G46" s="17" t="s">
        <v>9</v>
      </c>
      <c r="H46" s="17" t="str">
        <f>IF(
   IF(E46="&lt;",F46/2,F46) &gt;
   VALUE(LEFT(_xlfn.XLOOKUP(D46,Criteria!A:A,Criteria!B:B),FIND(" ",_xlfn.XLOOKUP(D46,Criteria!A:A,Criteria!B:B))-1)),
   "Exceeds",
   "OK"
)</f>
        <v>Exceeds</v>
      </c>
      <c r="I46" s="17" t="str">
        <f>IFERROR(
  _xlfn.LET(
    _xlpm.chem, D46,
    _xlpm.prefix, E46,
    _xlpm.result, F46,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Exceeds</v>
      </c>
    </row>
    <row r="47" spans="1:9">
      <c r="A47" s="17" t="s">
        <v>51</v>
      </c>
      <c r="B47" s="17" t="s">
        <v>56</v>
      </c>
      <c r="C47" s="16">
        <v>45245.625</v>
      </c>
      <c r="D47" s="17" t="s">
        <v>6</v>
      </c>
      <c r="E47" s="17" t="s">
        <v>80</v>
      </c>
      <c r="F47" s="17">
        <v>0.1</v>
      </c>
      <c r="G47" s="17" t="s">
        <v>9</v>
      </c>
      <c r="H47" s="17" t="str">
        <f>IF(
   IF(E47="&lt;",F47/2,F47) &gt;
   VALUE(LEFT(_xlfn.XLOOKUP(D47,Criteria!A:A,Criteria!B:B),FIND(" ",_xlfn.XLOOKUP(D47,Criteria!A:A,Criteria!B:B))-1)),
   "Exceeds",
   "OK"
)</f>
        <v>OK</v>
      </c>
      <c r="I47" s="17" t="str">
        <f>IFERROR(
  _xlfn.LET(
    _xlpm.chem, D47,
    _xlpm.prefix, E47,
    _xlpm.result, F47,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48" spans="1:9">
      <c r="A48" s="17" t="s">
        <v>51</v>
      </c>
      <c r="B48" s="17" t="s">
        <v>56</v>
      </c>
      <c r="C48" s="16">
        <v>45245.625</v>
      </c>
      <c r="D48" s="17" t="s">
        <v>7</v>
      </c>
      <c r="F48" s="17">
        <v>80</v>
      </c>
      <c r="G48" s="17" t="s">
        <v>9</v>
      </c>
      <c r="H48" s="17" t="str">
        <f>IF(
   IF(E48="&lt;",F48/2,F48) &gt;
   VALUE(LEFT(_xlfn.XLOOKUP(D48,Criteria!A:A,Criteria!B:B),FIND(" ",_xlfn.XLOOKUP(D48,Criteria!A:A,Criteria!B:B))-1)),
   "Exceeds",
   "OK"
)</f>
        <v>OK</v>
      </c>
      <c r="I48" s="17" t="str">
        <f>IFERROR(
  _xlfn.LET(
    _xlpm.chem, D48,
    _xlpm.prefix, E48,
    _xlpm.result, F48,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49" spans="1:9">
      <c r="A49" s="17" t="s">
        <v>51</v>
      </c>
      <c r="B49" s="17" t="s">
        <v>56</v>
      </c>
      <c r="C49" s="16">
        <v>45245.625</v>
      </c>
      <c r="D49" s="17" t="s">
        <v>8</v>
      </c>
      <c r="F49" s="17">
        <v>30000</v>
      </c>
      <c r="G49" s="17" t="s">
        <v>9</v>
      </c>
      <c r="H49" s="17" t="str">
        <f>IF(
   IF(E49="&lt;",F49/2,F49) &gt;
   VALUE(LEFT(_xlfn.XLOOKUP(D49,Criteria!A:A,Criteria!B:B),FIND(" ",_xlfn.XLOOKUP(D49,Criteria!A:A,Criteria!B:B))-1)),
   "Exceeds",
   "OK"
)</f>
        <v>Exceeds</v>
      </c>
      <c r="I49" s="17" t="str">
        <f>IFERROR(
  _xlfn.LET(
    _xlpm.chem, D49,
    _xlpm.prefix, E49,
    _xlpm.result, F49,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Exceeds</v>
      </c>
    </row>
    <row r="50" spans="1:9">
      <c r="A50" s="17" t="s">
        <v>51</v>
      </c>
      <c r="B50" s="17" t="s">
        <v>63</v>
      </c>
      <c r="C50" s="16">
        <v>45245.779166666704</v>
      </c>
      <c r="D50" s="17" t="s">
        <v>1</v>
      </c>
      <c r="E50" s="17" t="s">
        <v>80</v>
      </c>
      <c r="F50" s="17">
        <v>5</v>
      </c>
      <c r="G50" s="17" t="s">
        <v>9</v>
      </c>
      <c r="H50" s="17" t="str">
        <f>IF(
   IF(E50="&lt;",F50/2,F50) &gt;
   VALUE(LEFT(_xlfn.XLOOKUP(D50,Criteria!A:A,Criteria!B:B),FIND(" ",_xlfn.XLOOKUP(D50,Criteria!A:A,Criteria!B:B))-1)),
   "Exceeds",
   "OK"
)</f>
        <v>OK</v>
      </c>
      <c r="I50" s="17" t="str">
        <f>IFERROR(
  _xlfn.LET(
    _xlpm.chem, D50,
    _xlpm.prefix, E50,
    _xlpm.result, F50,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51" spans="1:9">
      <c r="A51" s="17" t="s">
        <v>51</v>
      </c>
      <c r="B51" s="17" t="s">
        <v>63</v>
      </c>
      <c r="C51" s="16">
        <v>45245.779166666704</v>
      </c>
      <c r="D51" s="17" t="s">
        <v>2</v>
      </c>
      <c r="E51" s="17" t="s">
        <v>80</v>
      </c>
      <c r="F51" s="17">
        <v>1</v>
      </c>
      <c r="G51" s="17" t="s">
        <v>9</v>
      </c>
      <c r="H51" s="17" t="str">
        <f>IF(
   IF(E51="&lt;",F51/2,F51) &gt;
   VALUE(LEFT(_xlfn.XLOOKUP(D51,Criteria!A:A,Criteria!B:B),FIND(" ",_xlfn.XLOOKUP(D51,Criteria!A:A,Criteria!B:B))-1)),
   "Exceeds",
   "OK"
)</f>
        <v>OK</v>
      </c>
      <c r="I51" s="17" t="str">
        <f>IFERROR(
  _xlfn.LET(
    _xlpm.chem, D51,
    _xlpm.prefix, E51,
    _xlpm.result, F51,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52" spans="1:9">
      <c r="A52" s="17" t="s">
        <v>51</v>
      </c>
      <c r="B52" s="17" t="s">
        <v>63</v>
      </c>
      <c r="C52" s="16">
        <v>45245.779166666704</v>
      </c>
      <c r="D52" s="17" t="s">
        <v>3</v>
      </c>
      <c r="F52" s="17">
        <v>52</v>
      </c>
      <c r="G52" s="17" t="s">
        <v>9</v>
      </c>
      <c r="H52" s="17" t="e">
        <f>IF(
   IF(E52="&lt;",F52/2,F52) &gt;
   VALUE(LEFT(_xlfn.XLOOKUP(D52,Criteria!A:A,Criteria!B:B),FIND(" ",_xlfn.XLOOKUP(D52,Criteria!A:A,Criteria!B:B))-1)),
   "Exceeds",
   "OK"
)</f>
        <v>#N/A</v>
      </c>
      <c r="I52" s="17" t="str">
        <f>IFERROR(
  _xlfn.LET(
    _xlpm.chem, D52,
    _xlpm.prefix, E52,
    _xlpm.result, F52,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53" spans="1:9">
      <c r="A53" s="17" t="s">
        <v>51</v>
      </c>
      <c r="B53" s="17" t="s">
        <v>63</v>
      </c>
      <c r="C53" s="16">
        <v>45245.779166666704</v>
      </c>
      <c r="D53" s="17" t="s">
        <v>4</v>
      </c>
      <c r="F53" s="17">
        <v>43</v>
      </c>
      <c r="G53" s="17" t="s">
        <v>9</v>
      </c>
      <c r="H53" s="17" t="str">
        <f>IF(
   IF(E53="&lt;",F53/2,F53) &gt;
   VALUE(LEFT(_xlfn.XLOOKUP(D53,Criteria!A:A,Criteria!B:B),FIND(" ",_xlfn.XLOOKUP(D53,Criteria!A:A,Criteria!B:B))-1)),
   "Exceeds",
   "OK"
)</f>
        <v>OK</v>
      </c>
      <c r="I53" s="17" t="str">
        <f>IFERROR(
  _xlfn.LET(
    _xlpm.chem, D53,
    _xlpm.prefix, E53,
    _xlpm.result, F53,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54" spans="1:9">
      <c r="A54" s="17" t="s">
        <v>51</v>
      </c>
      <c r="B54" s="17" t="s">
        <v>63</v>
      </c>
      <c r="C54" s="16">
        <v>45245.779166666704</v>
      </c>
      <c r="D54" s="17" t="s">
        <v>5</v>
      </c>
      <c r="F54" s="17">
        <v>68</v>
      </c>
      <c r="G54" s="17" t="s">
        <v>9</v>
      </c>
      <c r="H54" s="17" t="str">
        <f>IF(
   IF(E54="&lt;",F54/2,F54) &gt;
   VALUE(LEFT(_xlfn.XLOOKUP(D54,Criteria!A:A,Criteria!B:B),FIND(" ",_xlfn.XLOOKUP(D54,Criteria!A:A,Criteria!B:B))-1)),
   "Exceeds",
   "OK"
)</f>
        <v>OK</v>
      </c>
      <c r="I54" s="17" t="str">
        <f>IFERROR(
  _xlfn.LET(
    _xlpm.chem, D54,
    _xlpm.prefix, E54,
    _xlpm.result, F54,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55" spans="1:9">
      <c r="A55" s="17" t="s">
        <v>51</v>
      </c>
      <c r="B55" s="17" t="s">
        <v>63</v>
      </c>
      <c r="C55" s="16">
        <v>45245.779166666704</v>
      </c>
      <c r="D55" s="17" t="s">
        <v>6</v>
      </c>
      <c r="E55" s="17" t="s">
        <v>80</v>
      </c>
      <c r="F55" s="17">
        <v>0.1</v>
      </c>
      <c r="G55" s="17" t="s">
        <v>9</v>
      </c>
      <c r="H55" s="17" t="str">
        <f>IF(
   IF(E55="&lt;",F55/2,F55) &gt;
   VALUE(LEFT(_xlfn.XLOOKUP(D55,Criteria!A:A,Criteria!B:B),FIND(" ",_xlfn.XLOOKUP(D55,Criteria!A:A,Criteria!B:B))-1)),
   "Exceeds",
   "OK"
)</f>
        <v>OK</v>
      </c>
      <c r="I55" s="17" t="str">
        <f>IFERROR(
  _xlfn.LET(
    _xlpm.chem, D55,
    _xlpm.prefix, E55,
    _xlpm.result, F55,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56" spans="1:9">
      <c r="A56" s="17" t="s">
        <v>51</v>
      </c>
      <c r="B56" s="17" t="s">
        <v>63</v>
      </c>
      <c r="C56" s="16">
        <v>45245.779166666704</v>
      </c>
      <c r="D56" s="17" t="s">
        <v>7</v>
      </c>
      <c r="F56" s="17">
        <v>79</v>
      </c>
      <c r="G56" s="17" t="s">
        <v>9</v>
      </c>
      <c r="H56" s="17" t="str">
        <f>IF(
   IF(E56="&lt;",F56/2,F56) &gt;
   VALUE(LEFT(_xlfn.XLOOKUP(D56,Criteria!A:A,Criteria!B:B),FIND(" ",_xlfn.XLOOKUP(D56,Criteria!A:A,Criteria!B:B))-1)),
   "Exceeds",
   "OK"
)</f>
        <v>OK</v>
      </c>
      <c r="I56" s="17" t="str">
        <f>IFERROR(
  _xlfn.LET(
    _xlpm.chem, D56,
    _xlpm.prefix, E56,
    _xlpm.result, F56,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  <row r="57" spans="1:9">
      <c r="A57" s="17" t="s">
        <v>51</v>
      </c>
      <c r="B57" s="17" t="s">
        <v>63</v>
      </c>
      <c r="C57" s="16">
        <v>45245.779166666704</v>
      </c>
      <c r="D57" s="17" t="s">
        <v>8</v>
      </c>
      <c r="F57" s="17">
        <v>1950</v>
      </c>
      <c r="G57" s="17" t="s">
        <v>9</v>
      </c>
      <c r="H57" s="17" t="str">
        <f>IF(
   IF(E57="&lt;",F57/2,F57) &gt;
   VALUE(LEFT(_xlfn.XLOOKUP(D57,Criteria!A:A,Criteria!B:B),FIND(" ",_xlfn.XLOOKUP(D57,Criteria!A:A,Criteria!B:B))-1)),
   "Exceeds",
   "OK"
)</f>
        <v>OK</v>
      </c>
      <c r="I57" s="17" t="str">
        <f>IFERROR(
  _xlfn.LET(
    _xlpm.chem, D57,
    _xlpm.prefix, E57,
    _xlpm.result, F57,
    _xlpm.mappedChem, _xlfn.XLOOKUP(_xlpm.chem, Map!A:A, Map!B:B),
    _xlpm.critText, _xlfn.XLOOKUP(_xlpm.mappedChem, Criteria!A:A, Criteria!B:B),
    _xlpm.critValue, VALUE(LEFT(_xlpm.critText, FIND(" ", _xlpm.critText)-1)),
    _xlpm.adjResult, IF(_xlpm.prefix="&lt;", _xlpm.result/2, _xlpm.result),
    IF(_xlpm.adjResult &gt; _xlpm.critValue, "Exceeds", "OK")
  ),
"NOT FOUND")</f>
        <v>OK</v>
      </c>
    </row>
  </sheetData>
  <autoFilter ref="A1:I57" xr:uid="{72184417-6181-4903-8C73-68791CCB77F7}"/>
  <phoneticPr fontId="6" type="noConversion"/>
  <conditionalFormatting sqref="H1:I1048576">
    <cfRule type="cellIs" dxfId="0" priority="1" operator="equal">
      <formula>"Exceeds"</formula>
    </cfRule>
  </conditionalFormatting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D137-AD8D-48D8-B0C2-C97C10855F05}">
  <dimension ref="A1:B9"/>
  <sheetViews>
    <sheetView workbookViewId="0">
      <selection sqref="A1:B9"/>
    </sheetView>
  </sheetViews>
  <sheetFormatPr defaultRowHeight="15"/>
  <cols>
    <col min="1" max="1" width="19" customWidth="1"/>
    <col min="2" max="2" width="22.140625" customWidth="1"/>
  </cols>
  <sheetData>
    <row r="1" spans="1:2">
      <c r="A1" s="27" t="s">
        <v>87</v>
      </c>
      <c r="B1" s="27" t="s">
        <v>88</v>
      </c>
    </row>
    <row r="2" spans="1:2">
      <c r="A2" s="28" t="s">
        <v>3</v>
      </c>
      <c r="B2" s="28" t="s">
        <v>77</v>
      </c>
    </row>
    <row r="3" spans="1:2">
      <c r="A3" s="28" t="s">
        <v>5</v>
      </c>
      <c r="B3" s="28" t="s">
        <v>5</v>
      </c>
    </row>
    <row r="4" spans="1:2">
      <c r="A4" s="28" t="s">
        <v>6</v>
      </c>
      <c r="B4" s="28" t="s">
        <v>6</v>
      </c>
    </row>
    <row r="5" spans="1:2">
      <c r="A5" s="28" t="s">
        <v>7</v>
      </c>
      <c r="B5" s="28" t="s">
        <v>7</v>
      </c>
    </row>
    <row r="6" spans="1:2">
      <c r="A6" s="28" t="s">
        <v>1</v>
      </c>
      <c r="B6" s="28" t="s">
        <v>1</v>
      </c>
    </row>
    <row r="7" spans="1:2">
      <c r="A7" s="28" t="s">
        <v>2</v>
      </c>
      <c r="B7" s="28" t="s">
        <v>2</v>
      </c>
    </row>
    <row r="8" spans="1:2">
      <c r="A8" s="28" t="s">
        <v>4</v>
      </c>
      <c r="B8" s="28" t="s">
        <v>4</v>
      </c>
    </row>
    <row r="9" spans="1:2">
      <c r="A9" s="28" t="s">
        <v>8</v>
      </c>
      <c r="B9" s="28" t="s">
        <v>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90AC2-D6AE-4913-B91A-84378ADF68D7}">
  <dimension ref="A3:C10"/>
  <sheetViews>
    <sheetView workbookViewId="0">
      <selection activeCell="H12" sqref="H12"/>
    </sheetView>
  </sheetViews>
  <sheetFormatPr defaultRowHeight="15"/>
  <cols>
    <col min="1" max="1" width="25.140625" bestFit="1" customWidth="1"/>
    <col min="2" max="2" width="16.28515625" bestFit="1" customWidth="1"/>
    <col min="3" max="3" width="11.28515625" bestFit="1" customWidth="1"/>
    <col min="4" max="4" width="5.140625" bestFit="1" customWidth="1"/>
    <col min="5" max="5" width="6.5703125" bestFit="1" customWidth="1"/>
    <col min="6" max="6" width="4.5703125" bestFit="1" customWidth="1"/>
    <col min="7" max="7" width="13.140625" bestFit="1" customWidth="1"/>
    <col min="8" max="8" width="11.28515625" bestFit="1" customWidth="1"/>
    <col min="9" max="9" width="9.42578125" bestFit="1" customWidth="1"/>
    <col min="10" max="10" width="10.28515625" bestFit="1" customWidth="1"/>
    <col min="11" max="11" width="7.42578125" bestFit="1" customWidth="1"/>
    <col min="12" max="12" width="5.140625" bestFit="1" customWidth="1"/>
    <col min="13" max="13" width="8.42578125" bestFit="1" customWidth="1"/>
    <col min="14" max="14" width="6.5703125" bestFit="1" customWidth="1"/>
    <col min="15" max="15" width="4.5703125" bestFit="1" customWidth="1"/>
    <col min="16" max="16" width="8.42578125" bestFit="1" customWidth="1"/>
    <col min="17" max="17" width="11.28515625" bestFit="1" customWidth="1"/>
  </cols>
  <sheetData>
    <row r="3" spans="1:3">
      <c r="A3" s="29" t="s">
        <v>93</v>
      </c>
      <c r="B3" s="29" t="s">
        <v>91</v>
      </c>
    </row>
    <row r="4" spans="1:3">
      <c r="A4" s="29" t="s">
        <v>89</v>
      </c>
      <c r="B4" s="17" t="s">
        <v>92</v>
      </c>
      <c r="C4" s="17" t="s">
        <v>90</v>
      </c>
    </row>
    <row r="5" spans="1:3">
      <c r="A5" s="30" t="s">
        <v>18</v>
      </c>
      <c r="B5" s="32">
        <v>5</v>
      </c>
      <c r="C5" s="32">
        <v>5</v>
      </c>
    </row>
    <row r="6" spans="1:3">
      <c r="A6" s="31" t="s">
        <v>19</v>
      </c>
      <c r="B6" s="32">
        <v>4</v>
      </c>
      <c r="C6" s="32">
        <v>4</v>
      </c>
    </row>
    <row r="7" spans="1:3">
      <c r="A7" s="31" t="s">
        <v>27</v>
      </c>
      <c r="B7" s="32">
        <v>1</v>
      </c>
      <c r="C7" s="32">
        <v>1</v>
      </c>
    </row>
    <row r="8" spans="1:3">
      <c r="A8" s="30" t="s">
        <v>51</v>
      </c>
      <c r="B8" s="32">
        <v>2</v>
      </c>
      <c r="C8" s="32">
        <v>2</v>
      </c>
    </row>
    <row r="9" spans="1:3">
      <c r="A9" s="31" t="s">
        <v>56</v>
      </c>
      <c r="B9" s="32">
        <v>2</v>
      </c>
      <c r="C9" s="32">
        <v>2</v>
      </c>
    </row>
    <row r="10" spans="1:3">
      <c r="A10" s="30" t="s">
        <v>90</v>
      </c>
      <c r="B10" s="32">
        <v>7</v>
      </c>
      <c r="C10" s="32">
        <v>7</v>
      </c>
    </row>
  </sheetData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K16"/>
  <sheetViews>
    <sheetView tabSelected="1" zoomScale="85" zoomScaleNormal="85" workbookViewId="0">
      <pane xSplit="3" ySplit="7" topLeftCell="D8" activePane="bottomRight" state="frozenSplit"/>
      <selection pane="topRight"/>
      <selection pane="bottomLeft"/>
      <selection pane="bottomRight" activeCell="B4" sqref="B4"/>
    </sheetView>
  </sheetViews>
  <sheetFormatPr defaultColWidth="9.140625" defaultRowHeight="12.75"/>
  <cols>
    <col min="1" max="3" width="22.140625" style="4" customWidth="1"/>
    <col min="4" max="11" width="10.7109375" style="4" customWidth="1"/>
    <col min="12" max="12" width="9.140625" style="4" customWidth="1"/>
    <col min="13" max="16384" width="9.140625" style="4"/>
  </cols>
  <sheetData>
    <row r="3" spans="1:11">
      <c r="D3" s="3" t="s">
        <v>0</v>
      </c>
      <c r="E3" s="2"/>
      <c r="F3" s="2"/>
      <c r="G3" s="2"/>
      <c r="H3" s="2"/>
      <c r="I3" s="2"/>
      <c r="J3" s="2"/>
      <c r="K3" s="1"/>
    </row>
    <row r="4" spans="1:11" customFormat="1" ht="108.95" customHeight="1"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5" t="s">
        <v>6</v>
      </c>
      <c r="J4" s="5" t="s">
        <v>7</v>
      </c>
      <c r="K4" s="5" t="s">
        <v>8</v>
      </c>
    </row>
    <row r="5" spans="1:11">
      <c r="A5" s="6"/>
      <c r="B5" s="6"/>
      <c r="C5" s="6"/>
      <c r="D5" s="7" t="s">
        <v>9</v>
      </c>
      <c r="E5" s="7" t="s">
        <v>9</v>
      </c>
      <c r="F5" s="7" t="s">
        <v>9</v>
      </c>
      <c r="G5" s="7" t="s">
        <v>9</v>
      </c>
      <c r="H5" s="7" t="s">
        <v>9</v>
      </c>
      <c r="I5" s="7" t="s">
        <v>9</v>
      </c>
      <c r="J5" s="7" t="s">
        <v>9</v>
      </c>
      <c r="K5" s="7" t="s">
        <v>9</v>
      </c>
    </row>
    <row r="6" spans="1:11">
      <c r="A6" s="8" t="s">
        <v>10</v>
      </c>
      <c r="B6" s="6"/>
      <c r="C6" s="6"/>
      <c r="D6" s="9" t="s">
        <v>11</v>
      </c>
      <c r="E6" s="9" t="s">
        <v>12</v>
      </c>
      <c r="F6" s="9" t="s">
        <v>13</v>
      </c>
      <c r="G6" s="9" t="s">
        <v>11</v>
      </c>
      <c r="H6" s="9" t="s">
        <v>11</v>
      </c>
      <c r="I6" s="9" t="s">
        <v>14</v>
      </c>
      <c r="J6" s="9" t="s">
        <v>13</v>
      </c>
      <c r="K6" s="9" t="s">
        <v>11</v>
      </c>
    </row>
    <row r="7" spans="1:11">
      <c r="A7" s="21" t="s">
        <v>94</v>
      </c>
      <c r="B7" s="22"/>
      <c r="C7" s="22"/>
      <c r="D7" s="23">
        <v>100</v>
      </c>
      <c r="E7" s="23">
        <v>20</v>
      </c>
      <c r="F7" s="23">
        <v>100</v>
      </c>
      <c r="G7" s="24">
        <v>6000</v>
      </c>
      <c r="H7" s="23">
        <v>300</v>
      </c>
      <c r="I7" s="23">
        <v>40</v>
      </c>
      <c r="J7" s="23">
        <v>400</v>
      </c>
      <c r="K7" s="24">
        <v>7400</v>
      </c>
    </row>
    <row r="8" spans="1:11">
      <c r="A8" s="10"/>
      <c r="B8" s="10"/>
      <c r="C8" s="10"/>
    </row>
    <row r="9" spans="1:11" ht="15">
      <c r="A9" s="11" t="s">
        <v>15</v>
      </c>
      <c r="B9" s="11" t="s">
        <v>16</v>
      </c>
      <c r="C9" s="11" t="s">
        <v>17</v>
      </c>
      <c r="D9" s="6"/>
      <c r="E9" s="6"/>
      <c r="F9" s="6"/>
      <c r="G9" s="6"/>
      <c r="H9" s="6"/>
      <c r="I9" s="6"/>
      <c r="J9" s="6"/>
      <c r="K9" s="6"/>
    </row>
    <row r="10" spans="1:11">
      <c r="A10" s="12" t="s">
        <v>18</v>
      </c>
      <c r="B10" s="13">
        <v>45245</v>
      </c>
      <c r="C10" s="12" t="s">
        <v>19</v>
      </c>
      <c r="D10" s="14" t="s">
        <v>20</v>
      </c>
      <c r="E10" s="25" t="s">
        <v>21</v>
      </c>
      <c r="F10" s="25" t="s">
        <v>22</v>
      </c>
      <c r="G10" s="14" t="s">
        <v>23</v>
      </c>
      <c r="H10" s="25" t="s">
        <v>24</v>
      </c>
      <c r="I10" s="14" t="s">
        <v>14</v>
      </c>
      <c r="J10" s="25" t="s">
        <v>25</v>
      </c>
      <c r="K10" s="14" t="s">
        <v>26</v>
      </c>
    </row>
    <row r="11" spans="1:11">
      <c r="A11" s="12" t="s">
        <v>18</v>
      </c>
      <c r="B11" s="18">
        <v>45245</v>
      </c>
      <c r="C11" s="12" t="s">
        <v>27</v>
      </c>
      <c r="D11" s="14" t="s">
        <v>28</v>
      </c>
      <c r="E11" s="14" t="s">
        <v>11</v>
      </c>
      <c r="F11" s="14" t="s">
        <v>29</v>
      </c>
      <c r="G11" s="14" t="s">
        <v>30</v>
      </c>
      <c r="H11" s="25" t="s">
        <v>31</v>
      </c>
      <c r="I11" s="14" t="s">
        <v>32</v>
      </c>
      <c r="J11" s="14" t="s">
        <v>33</v>
      </c>
      <c r="K11" s="14" t="s">
        <v>34</v>
      </c>
    </row>
    <row r="12" spans="1:11">
      <c r="A12" s="12" t="s">
        <v>35</v>
      </c>
      <c r="B12" s="18">
        <v>45245</v>
      </c>
      <c r="C12" s="12" t="s">
        <v>36</v>
      </c>
      <c r="D12" s="14" t="s">
        <v>37</v>
      </c>
      <c r="E12" s="15" t="s">
        <v>38</v>
      </c>
      <c r="F12" s="14" t="s">
        <v>39</v>
      </c>
      <c r="G12" s="14" t="s">
        <v>40</v>
      </c>
      <c r="H12" s="14" t="s">
        <v>41</v>
      </c>
      <c r="I12" s="15" t="s">
        <v>42</v>
      </c>
      <c r="J12" s="14" t="s">
        <v>43</v>
      </c>
      <c r="K12" s="14" t="s">
        <v>44</v>
      </c>
    </row>
    <row r="13" spans="1:11">
      <c r="A13" s="12" t="s">
        <v>35</v>
      </c>
      <c r="B13" s="18">
        <v>45245</v>
      </c>
      <c r="C13" s="12" t="s">
        <v>45</v>
      </c>
      <c r="D13" s="14" t="s">
        <v>46</v>
      </c>
      <c r="E13" s="15" t="s">
        <v>38</v>
      </c>
      <c r="F13" s="14" t="s">
        <v>47</v>
      </c>
      <c r="G13" s="14" t="s">
        <v>48</v>
      </c>
      <c r="H13" s="14" t="s">
        <v>49</v>
      </c>
      <c r="I13" s="15" t="s">
        <v>42</v>
      </c>
      <c r="J13" s="14" t="s">
        <v>28</v>
      </c>
      <c r="K13" s="14" t="s">
        <v>50</v>
      </c>
    </row>
    <row r="14" spans="1:11">
      <c r="A14" s="12" t="s">
        <v>51</v>
      </c>
      <c r="B14" s="18">
        <v>45245</v>
      </c>
      <c r="C14" s="12" t="s">
        <v>52</v>
      </c>
      <c r="D14" s="14" t="s">
        <v>11</v>
      </c>
      <c r="E14" s="15" t="s">
        <v>38</v>
      </c>
      <c r="F14" s="14" t="s">
        <v>53</v>
      </c>
      <c r="G14" s="14" t="s">
        <v>41</v>
      </c>
      <c r="H14" s="14" t="s">
        <v>28</v>
      </c>
      <c r="I14" s="15" t="s">
        <v>42</v>
      </c>
      <c r="J14" s="14" t="s">
        <v>54</v>
      </c>
      <c r="K14" s="14" t="s">
        <v>55</v>
      </c>
    </row>
    <row r="15" spans="1:11">
      <c r="A15" s="12" t="s">
        <v>51</v>
      </c>
      <c r="B15" s="18">
        <v>45245</v>
      </c>
      <c r="C15" s="12" t="s">
        <v>56</v>
      </c>
      <c r="D15" s="14" t="s">
        <v>57</v>
      </c>
      <c r="E15" s="14" t="s">
        <v>13</v>
      </c>
      <c r="F15" s="14" t="s">
        <v>58</v>
      </c>
      <c r="G15" s="14" t="s">
        <v>59</v>
      </c>
      <c r="H15" s="25" t="s">
        <v>60</v>
      </c>
      <c r="I15" s="15" t="s">
        <v>42</v>
      </c>
      <c r="J15" s="14" t="s">
        <v>61</v>
      </c>
      <c r="K15" s="25" t="s">
        <v>62</v>
      </c>
    </row>
    <row r="16" spans="1:11">
      <c r="A16" s="12" t="s">
        <v>51</v>
      </c>
      <c r="B16" s="18">
        <v>45245</v>
      </c>
      <c r="C16" s="12" t="s">
        <v>63</v>
      </c>
      <c r="D16" s="15" t="s">
        <v>64</v>
      </c>
      <c r="E16" s="15" t="s">
        <v>38</v>
      </c>
      <c r="F16" s="14" t="s">
        <v>65</v>
      </c>
      <c r="G16" s="14" t="s">
        <v>66</v>
      </c>
      <c r="H16" s="14" t="s">
        <v>67</v>
      </c>
      <c r="I16" s="15" t="s">
        <v>42</v>
      </c>
      <c r="J16" s="14" t="s">
        <v>68</v>
      </c>
      <c r="K16" s="14" t="s">
        <v>69</v>
      </c>
    </row>
  </sheetData>
  <mergeCells count="1">
    <mergeCell ref="D3:K3"/>
  </mergeCells>
  <pageMargins left="0.74803149606299213" right="0.74803149606299213" top="0.74803149606299213" bottom="0.74803149606299213" header="0.51181102362204722" footer="0.51181102362204722"/>
  <pageSetup paperSize="8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Raw Results</vt:lpstr>
      <vt:lpstr>Criteria</vt:lpstr>
      <vt:lpstr>Exceeds</vt:lpstr>
      <vt:lpstr>Map</vt:lpstr>
      <vt:lpstr>Exceed Summary</vt:lpstr>
      <vt:lpstr>Real Result</vt:lpstr>
      <vt:lpstr>Exceeds!Print_Titles</vt:lpstr>
      <vt:lpstr>'Raw Results'!Print_Titles</vt:lpstr>
      <vt:lpstr>'Real Result'!Print_Titles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2026-03-24T18:00:55Z</dcterms:created>
  <dcterms:modified xsi:type="dcterms:W3CDTF">2026-03-24T18:01:42Z</dcterms:modified>
</cp:coreProperties>
</file>